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tabRatio="866" activeTab="2"/>
  </bookViews>
  <sheets>
    <sheet name="省评估模型" sheetId="4" r:id="rId1"/>
    <sheet name="专直单位评估模型" sheetId="5" r:id="rId2"/>
    <sheet name="平台化作战体系" sheetId="6" r:id="rId3"/>
  </sheets>
  <definedNames>
    <definedName name="_xlnm._FilterDatabase" localSheetId="0" hidden="1">省评估模型!$B$6:$L$52</definedName>
    <definedName name="_xlnm._FilterDatabase" localSheetId="1" hidden="1">专直单位评估模型!$A$2:$K$40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<sst xmlns="http://schemas.openxmlformats.org/spreadsheetml/2006/main" count="973" uniqueCount="459">
  <si>
    <t>数智赋能成熟度评估模型-XXX省评估版</t>
  </si>
  <si>
    <t>一级评估维度</t>
  </si>
  <si>
    <t>二级评估维度</t>
  </si>
  <si>
    <t>维度说明</t>
  </si>
  <si>
    <t>评估因子</t>
  </si>
  <si>
    <t>定义与口径</t>
  </si>
  <si>
    <t>权重</t>
  </si>
  <si>
    <t>评估因子负责部门</t>
  </si>
  <si>
    <t>评估因子负责人</t>
  </si>
  <si>
    <t>取数来源</t>
  </si>
  <si>
    <t>方式说明</t>
  </si>
  <si>
    <t>适用范围（省公司）</t>
  </si>
  <si>
    <t>责任部室</t>
  </si>
  <si>
    <t>责任人</t>
  </si>
  <si>
    <t>数智战略（10分）</t>
  </si>
  <si>
    <t>保障机制完备性
（5分）</t>
  </si>
  <si>
    <t>体现各单位对数智赋能工作的重视程度，依据本单位实际情况，明确战略、落地推进、考核评价等</t>
  </si>
  <si>
    <t>机制建设</t>
  </si>
  <si>
    <t>1.1本年度是否发布公司级数智赋能战略文件，包含数智赋能规划、实施方案、配套文件等。
1.2按月组织开展规划和行动计划、数智技术、精益管理等数智赋能相关的宣贯培训。</t>
  </si>
  <si>
    <t>推进办</t>
  </si>
  <si>
    <t>刘璐婕 13811583293
liulujie@chinamobile.com</t>
  </si>
  <si>
    <t>各单位上报</t>
  </si>
  <si>
    <t>1.1提供OA发文
1.2提供OA发文或邮件</t>
  </si>
  <si>
    <t>省公司</t>
  </si>
  <si>
    <t>安全运营管理室</t>
  </si>
  <si>
    <t>刘宏江</t>
  </si>
  <si>
    <t>年度考核</t>
  </si>
  <si>
    <t>本年度是否将数智赋能工作纳入本单位内设机构年度考核。</t>
  </si>
  <si>
    <t>提供OA发文、考核办法等</t>
  </si>
  <si>
    <t>沈新琴</t>
  </si>
  <si>
    <t>数智人才建设
（5分）</t>
  </si>
  <si>
    <t>体现各单位在推进数智赋能方面核心数智技术人才队伍建设情况</t>
  </si>
  <si>
    <t>数智能力认证</t>
  </si>
  <si>
    <t>中国移动数智能力认证人员占比=数智能力认证持证人员数量/本单位签订劳动合同人员总数。
数智能力认证范围详见鸿鹄平台认证清单https://it.10086.cn/honghu/hhweb/#/certify。后续认证范围根据工作需要动态调整。</t>
  </si>
  <si>
    <t>田园 15989895414
tianyuan@chinamobile.com</t>
  </si>
  <si>
    <t>iHR取数</t>
  </si>
  <si>
    <t>统一取数，按半年取数</t>
  </si>
  <si>
    <t>人员结构</t>
  </si>
  <si>
    <t>近三年进入应届毕业生3T专业占比=本单位近三年入职且具有3T专业背景的应届生人数 /本单位近三年入职应届生总数</t>
  </si>
  <si>
    <t>宋春清 13602650231
songchunqing@chinamobile.com</t>
  </si>
  <si>
    <t>需向各单位收集，按年取数</t>
  </si>
  <si>
    <t>数智运营（36分）</t>
  </si>
  <si>
    <t>研发设计
（13分）</t>
  </si>
  <si>
    <t>围绕“四共”研发体系建设，体现灵畿科研平台等数智化举措对研发创新的贡献程度</t>
  </si>
  <si>
    <t>灵畿平台使用活跃指数</t>
  </si>
  <si>
    <t>依据本单位30天日均活跃度、当月活跃度、本单位研发活动人员（含外协），进行指数权重计算，评估研发活动人员在灵畿平台的持续活跃程度。</t>
  </si>
  <si>
    <t>数智事业部</t>
  </si>
  <si>
    <t>郑立柯 13688807015
zhenglike@chinamobile.com</t>
  </si>
  <si>
    <t>灵畿平台取数</t>
  </si>
  <si>
    <t>统一取数</t>
  </si>
  <si>
    <t>云智平台室</t>
  </si>
  <si>
    <t>陈迪</t>
  </si>
  <si>
    <t>灵畿平台深度使用覆盖度</t>
  </si>
  <si>
    <t>依据本单位各项目在灵畿平台进行端到端研发活动期间，在各个核心模块的使用记录，评估深度使用覆盖度。
注：核心模块包括需求管理、代码管理、制品管理、CI（含流水线）、CD（含流水线）、持续测试、扫描模块（含代码质量、代码安全、制品安全等）</t>
  </si>
  <si>
    <t>研发活动规模排名系数</t>
  </si>
  <si>
    <t>依据本单位在灵畿平台进行端到端研发期间，各个关键研发活动的开展规模排名，进行系数权重计算，评估各单位的综合研发产能贡献。
注：关键活动包括需求交付、代码提交、用例执行、构建、部署、扫描等</t>
  </si>
  <si>
    <t>灵畿平台AICoding日活跃度</t>
  </si>
  <si>
    <t>灵畿平台AICoding日活跃度=每天各单位使用灵畿平台AICoding应用的用户数/每天各单位使用灵畿平台开发域的用户总数
说明：
灵畿平台AICoding应用包括：灵畿MobileCoder、灵畿AICoding（湛卢插件）</t>
  </si>
  <si>
    <t>李广辉  18911919111
liguanghui@chinamobile.com</t>
  </si>
  <si>
    <t>灵畿平台AI应用日活跃度</t>
  </si>
  <si>
    <t>灵畿平台AI应用日活跃度=每天各单位使用灵畿平台AI应用的用户数/每天各单位使用灵畿平台的用户总数*100%。
说明：
灵畿平台AI应用的能力包括：AI+研发项目查重、AI+研发需求查重、AI+研发计划查重、AI+科创智能问答、AI+项目标签识别、AI+专利智能交底、AI+专利智能预审、AI+专利智能核稿、AI+奖励智能查重、AI+奖励合规检查、AI+需求、AI+设计、数据建模工具、AI+测试、AI+大屏应用构建、AI+页面应用构建、AI+流程应用构建、灵畿AICoding（MobileCoder、湛卢插件）</t>
  </si>
  <si>
    <t>研发自主度</t>
  </si>
  <si>
    <t>研发自主度=(自有研发人工成本+研发支撑人员成本+协同参股企业研发成本*我方参股比例)/费用类研发投入。</t>
  </si>
  <si>
    <t>科技创新部</t>
  </si>
  <si>
    <t>于孟达 13910936153
yumengda@chinamobile.com</t>
  </si>
  <si>
    <t>灵畿、RMS平台取数</t>
  </si>
  <si>
    <t>统一取数，每月1日给截止到上个月月底的数据。</t>
  </si>
  <si>
    <t>网络运营
（5分）</t>
  </si>
  <si>
    <t>围绕“三零三自”自智网络打造，体现数智化举措对网络运营水平提升的贡献程度</t>
  </si>
  <si>
    <t>自智网络L4高价值场景</t>
  </si>
  <si>
    <t>具备自智网络L4高价值场景数。网络云大区省达标数量为9个，非网络云大区省达标数量为8个。</t>
  </si>
  <si>
    <t>网络事业部</t>
  </si>
  <si>
    <t>姚远 13911939943
yaoyuanwl@chinamobile.com</t>
  </si>
  <si>
    <t>网络事业部统一提供</t>
  </si>
  <si>
    <t>网络事业部按年度评估，统一提供评估结果</t>
  </si>
  <si>
    <t>网络管理中心</t>
  </si>
  <si>
    <t>宋宇</t>
  </si>
  <si>
    <t>网络运营领域AI场景应用建设规模</t>
  </si>
  <si>
    <t>纳入“四域百景千应用”图谱的网络运营领域AI场景应用数量，包含3类网络运维助手智能体、11类自主运维智能体。</t>
  </si>
  <si>
    <t>刘豫  13621100419
liuyu@chinamobile.com</t>
  </si>
  <si>
    <t>网络运营AI平台取数</t>
  </si>
  <si>
    <t>网络领域AI应用活跃度</t>
  </si>
  <si>
    <t>网络领域AI应用活跃度=网络领域使用AI应用平均日活人员数量/各单位网络运维人员总数量*100%。</t>
  </si>
  <si>
    <t>营销服务
（17分）</t>
  </si>
  <si>
    <t>围绕客户全生命周期精准运营，从工单流程效率、产品智能化能力、触点集约化、数据治理等，体现数智化举措对市场、政企、客服运营水平提升的贡献程度</t>
  </si>
  <si>
    <t>市场领域：AI能力建设及应用情况</t>
  </si>
  <si>
    <t>为进一步推进AI赋能，对照市场条线A能力图谱，围绕大小模型、skills、智能体等方面开展建设或应用，结合营销成功率和token消耗情况，评估AI赋能成效。</t>
  </si>
  <si>
    <t>市场经营部</t>
  </si>
  <si>
    <t>范灵均 15210839058
fanlingjun@chinamobile.com</t>
  </si>
  <si>
    <t>IOP平台、AI中枢平台取数</t>
  </si>
  <si>
    <t>统一取数，每月1日给截止到上个月月底的数据</t>
  </si>
  <si>
    <t>数据运营室</t>
  </si>
  <si>
    <t>白取鑫</t>
  </si>
  <si>
    <t>市场领域：平台化作战体系（统一运营工作台）建设情况</t>
  </si>
  <si>
    <t>参与存量运营平台统一框架推广落地，贯通“察策打评”形成平台化作战体系，构建分省专区专项工作评估情况。重点评估总部工单的闭环率，赋能端到端集省协同运营效果提升</t>
  </si>
  <si>
    <t>吴振宗 13810308302
wuzhenzong@chinamobile.com</t>
  </si>
  <si>
    <t>各单位上报
一级市场运营平台取数</t>
  </si>
  <si>
    <t>提供上报模板，见sheet：平台化作战体系</t>
  </si>
  <si>
    <t>政企领域：要客运营</t>
  </si>
  <si>
    <t>省网格通要客使用活跃率=当月各省网格通要客作战能力登录用户数/当月各省网格通要客作战能力注册用户数</t>
  </si>
  <si>
    <t>政企事业部</t>
  </si>
  <si>
    <t>赵琳潇 18201323270
zhaolinxiao@chinamobile.com</t>
  </si>
  <si>
    <t>需各省网格通上报，每月6日给截止到上个月月底的数据。</t>
  </si>
  <si>
    <t>政企支撑室</t>
  </si>
  <si>
    <t>姚蕾</t>
  </si>
  <si>
    <t>政企领域：商客运营</t>
  </si>
  <si>
    <t>商客通月活跃度=当月商客经理及营销管理员登录用户数/当月商客经理及营销管理员注册用户数</t>
  </si>
  <si>
    <t>张凡 13810572782
zhangfanzq@chinamobile.com</t>
  </si>
  <si>
    <t>营销服务运营平台（政企专区）</t>
  </si>
  <si>
    <t>客服领域：差评客户修复及时接触率</t>
  </si>
  <si>
    <t>为进一步提升差评客户修复的响应速度，强化客户感知修复的时效性管理，设定差评客户修复及时接触率=在规定时间内接触客户数/当月下发差评总客户数*100</t>
  </si>
  <si>
    <t>客户服务部</t>
  </si>
  <si>
    <t>林雨菲 18859375855 
linyufei@chinamobile.com</t>
  </si>
  <si>
    <t>大音平台取数</t>
  </si>
  <si>
    <t>统一取数，数据来源：具体数据是省公司通过附件《附件2：中国移动网状网接口规范 - 一级客服文件接口规范-集中化客户服务评价分册V1.7.3》3.29 省/专公司向大音平台同步差评用户修复数据文件接口同步</t>
  </si>
  <si>
    <t>艾力亚斯江</t>
  </si>
  <si>
    <t>客服领域：热线一次问题解决率</t>
  </si>
  <si>
    <t>为有效压降客户重复来电，减少因问题未解决导致的二次投诉与成本浪费，推动服务触点从“事后补救”向“首次即解决”转型，设定热线一次问题解决率=48小时内同一号码同一来电原因的话务量/有效人工通话量</t>
  </si>
  <si>
    <t>统一取数，数据来源：“热线人工一次性问题解决率”来源于在线公司通过附件《中国移动大音平台文件接口规范 - 在线公司10086平台数据采集规范V10.3》3.60重点产品配套服务评价体系月报数据文件接口同步。</t>
  </si>
  <si>
    <t>客服领域：数据上传及时率&amp;完整性</t>
  </si>
  <si>
    <t>为提高服务质效，汇聚省公司端到端服务过程质量管理、服务号码使用、平台运营等数据，构建服务监督能力，推进全网服务数智化水平提升，设定数据上传及时率和完整性指标
数据上报及时率=及时上报数据文件个数/需上报数据文件个数×100%
数据文件内容完整性=数据内容完整文件数/需上报数据文件个数×100%</t>
  </si>
  <si>
    <t>统一取数，每月1日给截止到上个月月底的数据。各省公司按接口规范要求上报</t>
  </si>
  <si>
    <t>AI灵犀营销服务助手日活跃度</t>
  </si>
  <si>
    <r>
      <rPr>
        <b/>
        <sz val="12"/>
        <rFont val="Microsoft YaHei"/>
        <charset val="134"/>
      </rPr>
      <t>前提条件</t>
    </r>
    <r>
      <rPr>
        <sz val="12"/>
        <rFont val="Microsoft YaHei"/>
        <charset val="134"/>
      </rPr>
      <t xml:space="preserve">：集团统一建设的灵犀营销服务助手，为网格通唯一AI应用入口。
</t>
    </r>
    <r>
      <rPr>
        <b/>
        <sz val="12"/>
        <rFont val="Microsoft YaHei"/>
        <charset val="134"/>
      </rPr>
      <t>计算公式：</t>
    </r>
    <r>
      <rPr>
        <sz val="12"/>
        <rFont val="Microsoft YaHei"/>
        <charset val="134"/>
      </rPr>
      <t xml:space="preserve">各单位工作日使用灵犀营服助手的营销人数 / 营销人员总数。
</t>
    </r>
    <r>
      <rPr>
        <b/>
        <sz val="12"/>
        <rFont val="Microsoft YaHei"/>
        <charset val="134"/>
      </rPr>
      <t>备注：</t>
    </r>
    <r>
      <rPr>
        <sz val="12"/>
        <rFont val="Microsoft YaHei"/>
        <charset val="134"/>
      </rPr>
      <t>营销人员角色包括：网格长、网格经理两类岗位。</t>
    </r>
  </si>
  <si>
    <t>灵犀营销助手取数</t>
  </si>
  <si>
    <t>业务响应室</t>
  </si>
  <si>
    <t>李博</t>
  </si>
  <si>
    <t>经营管理
（3分）</t>
  </si>
  <si>
    <t>面向办公、党建、战略管理、法务合规、计划建设、财务、人力、审计、纪检、巡视、供应链、工会12个管理领域，体现数智化举措对内部运营管理水平提升的贡献度</t>
  </si>
  <si>
    <t>AI灵犀办公助手日活跃度</t>
  </si>
  <si>
    <r>
      <rPr>
        <b/>
        <sz val="12"/>
        <rFont val="Microsoft YaHei"/>
        <charset val="134"/>
      </rPr>
      <t>计算公式：</t>
    </r>
    <r>
      <rPr>
        <sz val="12"/>
        <rFont val="Microsoft YaHei"/>
        <charset val="134"/>
      </rPr>
      <t xml:space="preserve">各单位工作日调用AI灵犀助手（包含AI Office和OA门户）的用户数/单位员工总数。
</t>
    </r>
    <r>
      <rPr>
        <b/>
        <sz val="12"/>
        <rFont val="Microsoft YaHei"/>
        <charset val="134"/>
      </rPr>
      <t>备注：</t>
    </r>
    <r>
      <rPr>
        <sz val="12"/>
        <rFont val="Microsoft YaHei"/>
        <charset val="134"/>
      </rPr>
      <t>单个工作日内，两款应用的调用用户数取均值核算。</t>
    </r>
  </si>
  <si>
    <t>灵犀办公助手取数</t>
  </si>
  <si>
    <t>代文娟</t>
  </si>
  <si>
    <t>数智能力（29分）</t>
  </si>
  <si>
    <t>系统集约
（9分）</t>
  </si>
  <si>
    <t>体现各单位在系统集约化方面的推进力度</t>
  </si>
  <si>
    <t>系统收敛下降</t>
  </si>
  <si>
    <t>系统实际收敛下降比例=[已下线系统总数+Σ（1-已完成部分保留系统的保留占比）]/系统总数
注1：非系统图谱管理范围系统不纳入统计。
注2：已下线系统总数，仅统计收敛目标为 “计划下线 / 计划整合” ，且进度为100%，且状态为 “已下线 / 下线备查” 的系统。</t>
  </si>
  <si>
    <t>系统图谱取数</t>
  </si>
  <si>
    <t>系统到达数</t>
  </si>
  <si>
    <t>系统实际到达数=系统总数-[已下线系统总数+Σ（1-已完成部分保留系统的保留占比）]
注1：非系统图谱管理范围系统不纳入统计。
注2：已下线系统总数，仅统计收敛目标为 “计划下线 / 计划整合” ，且进度为100%，且状态为 “已下线 / 下线备查” 的系统。</t>
  </si>
  <si>
    <t>App到达数</t>
  </si>
  <si>
    <t>APP实际到达数=APP总数-已下线APP总数
注1：统计范围包括对内和对外APP。
注2：已下线APP总数，仅统计收敛目标为 “计划下线 / 计划整合” ，且进度为100%，且状态为 “已下线 / 下线备查” 的APP。</t>
  </si>
  <si>
    <t>AI能力
（12分）</t>
  </si>
  <si>
    <t>强化属于推理资源保障，聚焦磐智AI平台、聚智智能体平台、数据供给和管理平台三大平台，以及总部统一打造的RAG、Alpha Data两大工具，实现全网各单位应用尽用，各单位基于统一的AI平台工具能力，面向实际生产打造AI场景应用，切实发挥AI价值实效</t>
  </si>
  <si>
    <t>AI平台工具推广应用</t>
  </si>
  <si>
    <t>1.活跃智能体比例：各单位基于聚智打造的活跃智能体比例=活跃智能体数量/智能体总数*100%，其中活跃智能体定义为月调用量超过100的智能体。
2.活跃智能体调用量：各单位基于聚智打造的活跃智能体调用量之和。</t>
  </si>
  <si>
    <t>韩悦月 13718721707
hanyueyue@chinamobile.com</t>
  </si>
  <si>
    <t>聚智智能体平台取数</t>
  </si>
  <si>
    <t>系统统一取数，每月1日给截止到上个月月底的数据</t>
  </si>
  <si>
    <t>艾福荣</t>
  </si>
  <si>
    <t>数据回流水平</t>
  </si>
  <si>
    <t>1.大模型Token使用量增长率：各单位大模型Token使用量增长率=（当月大模型Token使用量-上月大模型Token使用量）/上月大模型Token使用量*100%，其中大模型Token使用量基于各单位回流到数据供给平台的推理数据计算得出。
2.数据回传率：各单位数据回传率=各单位已开通在线推理数据例行回流的AI+应用数量/各单位已上线的AI+应用数量。</t>
  </si>
  <si>
    <t>数据供给和管理平台取数</t>
  </si>
  <si>
    <t>九天大模型调用量占比</t>
  </si>
  <si>
    <t>九天大模型tokens调用量占比=各单位AI+应用对九天大模型的tokens调用量/本单位大模型tokens调用量总数*100%</t>
  </si>
  <si>
    <t>数据能力
(4分)</t>
  </si>
  <si>
    <t>体现各单位数据能力集约化、数据供给回流、产品融合等能力水平</t>
  </si>
  <si>
    <t>梧桐数据平台使用水平</t>
  </si>
  <si>
    <t>非集中化20省梧桐大数据平台使用水平=0.1*入驻率+0.4*投产率+0.2*任务成功率+0.3*贡献度
集中化11省梧桐大数据平台使用水平=0.1*入驻率+0.1*投产率+0.5*任务成功率+0.3*贡献度
该指标用于评估各省公司大数据应用在梧桐大数据开放平台上的集中化入驻进度进度，其中，
入驻率 = 本省已迁移入驻到梧桐大数据开放平台的应用数量 /本省上报大数据应用数
投产率 = 本省已割接到梧桐大数据开放平台并投产运营的应用数量 / 本省上报大数据应用数
任务成功率= 各省使用集中化环境大数据作业的(月度内成功执行的任务调度数 / 月度内执行的总任务调度数) × 100%，99%以上得满分，90%以下不得分，期间按照相对99%的偏离度计分。计算范围包含大数据核心数据处理作业调度工具ucx、uap、dacp、dataants。
贡献度=为配合总部集中化入驻工作，本省在工具改造、集群优化、运维保障、运营服务等重难点工作中提出有效建议并取得突出成效（对于问题解决有改善或提升）的任务数，按照各单位有效贡献任务数排名线性得分，其中为0不得分。</t>
  </si>
  <si>
    <t xml:space="preserve">
洪浩旭  15919925255
honghaoxu@chinamobile.com
朱景秀  13925210304  
zhujingxiu@chinamobile.com</t>
  </si>
  <si>
    <t>手工上报+梧桐数据开放平台取数</t>
  </si>
  <si>
    <t>周彬</t>
  </si>
  <si>
    <t>数据能力集约化水平</t>
  </si>
  <si>
    <t>非集中化20省数据能力集约化水平=0.9*集约化任务执行度+0.1*集约化能力建设贡献度
集中化11省大数据能力集约化水平=0.1*集约化任务执行度+0.4*集约化能力建设贡献度+0.5*集约化能力转化率
其中，
1、集约化任务包括：配合数据需求梳理及上报工作、确认需求数据支撑方案、订购数据能力并适配省侧应用及完成应用迁移、省侧相关资源下线等其他集约化配合事项；
2、贡献度是能被至少1个其他单位使用的数据能力或应用的数量，依排名线性得分；
3、转化率是指利用集约化能力打造的个性化应用数量，依排名线性得分。</t>
  </si>
  <si>
    <t>陆鑫磊 13522765364 
luxinlei@chinamobile.com
林海艺 19802026181
linhaiyi@chinamobile.com</t>
  </si>
  <si>
    <t>梧桐数据产品融合水平</t>
  </si>
  <si>
    <t>数据对外服务集中化数据能力使用率：
省侧使用梧桐大数据金融、政务、商业等集中化数据能力开展对外服务的场景应用数。</t>
  </si>
  <si>
    <t>王龙 13910369252
wanglongit01@chinamobile.com</t>
  </si>
  <si>
    <t>1、大数据经营管理平台
2、各单位上报</t>
  </si>
  <si>
    <t>统一取数，每月1日给截止到上个月月底的数据。
各单位上报</t>
  </si>
  <si>
    <t>保障能力
（4分）</t>
  </si>
  <si>
    <t>体现各单位在运维保障方面的能力水平</t>
  </si>
  <si>
    <t>SRE成熟度评估工作</t>
  </si>
  <si>
    <t>是否按时按质完成SRE年度关键任务及SRE成熟度评估工作。</t>
  </si>
  <si>
    <t>张松蕾 13811447706
zhangsonglei@chinamobile.com</t>
  </si>
  <si>
    <t>SRE关键任务工作台账</t>
  </si>
  <si>
    <t>年度取数</t>
  </si>
  <si>
    <t>杨宏明</t>
  </si>
  <si>
    <t>SRE成熟度等级</t>
  </si>
  <si>
    <t>SRE成熟度等级≥L3稳健级或者SRE成熟度等级提升≥1个等级。</t>
  </si>
  <si>
    <t>SRE成熟度评估结果</t>
  </si>
  <si>
    <t>数智治理（10分）</t>
  </si>
  <si>
    <t>数据治理
（6分）</t>
  </si>
  <si>
    <t>体现各单位数据治理高效供数、标准治数、智慧用数水平</t>
  </si>
  <si>
    <t>高质量数据集共建共享工作参与水平</t>
  </si>
  <si>
    <t>（1）高质量数据集共建率=各单位贡献高质量数据集个数/31省公司贡献高质量数据集总个数； 其中，各单位贡献高质量数据集个数以汇聚到数据供给与管理平台的数据集数量为准，各单位需提供数据集的实际使用场景证明，由数据供给与管理平台进行质量复评。
（2）高质量数据集使用率=各单位申请使用高质量数据集个数/31省公司申请使用高质量数据集总个数； 其中，各单位申请使用高质量数据集个数以向数据供给与管理平台申请使用已建成的高质量数据集为准，且需反馈实际应用成效。</t>
  </si>
  <si>
    <t>赵威 18810797657
zhaoweiit01@chinamobile.com</t>
  </si>
  <si>
    <t>核心数据汇聚保障水平</t>
  </si>
  <si>
    <t>核心数据汇聚保障水平 =（数据接入需求支撑月平均及时率*50%+核心数据上传月平均及时率*50%）-数据准确性违反次数*1% - 月平均接口重传率
注：
（1）数据接入需求支撑月平均及时率、核心数据上传月平均及时率、月平均接口重传率为各月数据接入需求支撑及时率、核心数据上传及时率、接口重传率的几何平均数。
（2）在计算各单位各月接口重传率时，同一月内同一接口多次重传的情况只做一次统计。
（3）本指标衡各单位数据汇聚质量情况，其中因各单位自身原因导致的数据汇聚质量问题不进行剔除。</t>
  </si>
  <si>
    <t>孙丽娟 18301340462
sunlijuan@chinamobile.com
赵威 18810797657
zhaoweiit01@chinamobile.com</t>
  </si>
  <si>
    <t>数据质量管理平台取数</t>
  </si>
  <si>
    <t>基于数据质量管理平台进行统计</t>
  </si>
  <si>
    <t>数据资源管理水平</t>
  </si>
  <si>
    <t>数据资源管理水平，主要根据各单位上报数据资源的信息质量达标情况展开评估，重点关注核心数据。
数据资源管理水平=符合元信息质量要求的数据资源量/各单位有效数据资源总量*100%。
数据资源的元信息质量要求，针对核心数据和一般数据进行差异化管理，对于核心数据资源的信息完整性、丰富性和准确性要求会更高。随着数据资源的精细化深入管理持续迭代，具体请以梧桐数据治理平台上的考核报表质量规则为准。</t>
  </si>
  <si>
    <t>皇甫丹青 15801043828
huangfudanqing@chinamobile.com</t>
  </si>
  <si>
    <t>全网数据地图取数</t>
  </si>
  <si>
    <t>基于全网数据地图进行统计</t>
  </si>
  <si>
    <t>数据需求管理水平</t>
  </si>
  <si>
    <t>数据需求管理水平=50%*按要求反馈用数成效的数据需求量/本单位全量交付在用数据需求量+50%*未被退回的需求工单/本单位全量需求工单数；
数据需求专指省专单位通过梧桐大数据订购的需求，包括使用本单位数据和跨单位数据。
用数成效和问题反馈：根据数智事业部要求反馈有效的用数成效，用于辅助推动数据能力建设和源端数据治理，以及支撑数据需求生命周期管理，强化高价值用数场景保障和下线无效需求。
未被退回的需求工单：主要指在梧桐大数据提交需求工单时数据需求说明及相关配套材料质量是否通过审核，以首次提交为准，审核点包括需求是否经过内部审核，需求内容是否清晰明确（避免需求反复沟通确认）。</t>
  </si>
  <si>
    <t>王珊珊  13811924262
wangshanshansp@chinamobile.com</t>
  </si>
  <si>
    <t>梧桐数据运营平台取数</t>
  </si>
  <si>
    <t>梧桐数据出具运营评估材料，各单位配合确认</t>
  </si>
  <si>
    <t>业务和技术协同场景化运营水平</t>
  </si>
  <si>
    <t>业务和技术协同场景化运营水平=∑各单位每条数据治理“五定”任务达标情况得分；
业务和技术协同场景化运营水平指对各单位上报的数据治理“五定”任务做评估，每条任务达成以下目标最高得0.1分，每单位总体上限为1分。
1、数据治理“五定”场景需体现业务部门发挥的主导作用，业务部门参与程度、业务视角的治理目标是否明确及有效达成，将作为关键审核点，未经业务部门确认不得分。
2、各单位数据治理“五定”场景规划：指对各单位上报的数据治理“五定”任务进行合理度评估。其中，业务目标设定清晰明确，配套有可量化的业务指标，且信息填报完整、内容真实有效的得0.05分；有明确业务目标，明确具体举措、里程碑、完成时间、技术责任人、业务责任人等信息的得0.01分；未进行数据治理“五定”任务规划，得0分。
3、重点业务场景成效：指依据数据治理“五定”工作标准开展工作，评价各项工作落地应用后的实际效果与价值产出。其中：“五定”工作成果已在核心业务场景实际落地，形成可量化的业务成效，并具备一定推广复用性的得0.05；“五定”工作成果已在业务场景实际落地，并有一定业务成效产生的得0.03，其他得0分。</t>
  </si>
  <si>
    <t xml:space="preserve">
闫晓梅 15735045592
yanxiaomei@chinamobile.com</t>
  </si>
  <si>
    <t>各单位提供评估材料，数智事业部联合业务部门评审。</t>
  </si>
  <si>
    <t>流程治理
（4分）</t>
  </si>
  <si>
    <t>各单位健全流程治理体系结构，以客户为中心，开展重点优化攻坚</t>
  </si>
  <si>
    <t>流程治理组织</t>
  </si>
  <si>
    <t>流程治理组织建设水平：
（1）组织层面：建立“领导挂帅+Owner主责+专班推进”的流程治理工作推进模式，得1分。
（2）保障层面：流程治理专项在单位内部有明确的绩效考评机制和治理激励手段，得1分。</t>
  </si>
  <si>
    <t>李梦瑶 13811263342
limengyao@chinamobile.com</t>
  </si>
  <si>
    <t>各单位提供评估材料，数智事业部评审</t>
  </si>
  <si>
    <t>重点流程优化</t>
  </si>
  <si>
    <t>重点流程优化目标完成度≧100%。</t>
  </si>
  <si>
    <t>依据《2026年流程治理工作要点》提供流程治理任务清单，数智事业部进行评审</t>
  </si>
  <si>
    <t>数智价值（13分）</t>
  </si>
  <si>
    <t>降本增效
（8分）</t>
  </si>
  <si>
    <t>体现数智赋能在内部生产运营、外部创收变现过程中的成效，显性化体现数智能力的价值贡献</t>
  </si>
  <si>
    <t>项目融能率</t>
  </si>
  <si>
    <t>工程建设项目融能率=PMS系统使用中台能力的工程建设类项目数/PMS系统工程建设类项目总数
开发研发成本项目融能率=“灵畿”科研平台使用中台能力的软件开发研发成本类项目数/“灵畿”科研平台软件开发研发成本类项目总数
DICT项目融能率=中台门户收入工单上报的2026年DICT项目数/一级DICT系统2026年DICT项目数</t>
  </si>
  <si>
    <t>赵妮卓 13811520180
zhaonizhuoit@chinamobile.com</t>
  </si>
  <si>
    <t>能力中台取数</t>
  </si>
  <si>
    <t>统一取数，每月10日给截止到上个月月底的数据。</t>
  </si>
  <si>
    <t>中台运营室</t>
  </si>
  <si>
    <t>王昊</t>
  </si>
  <si>
    <t>数据算法收入情况（价值）</t>
  </si>
  <si>
    <t>打造并销售大数据平台工具、数据应用、数据要素服务、AIOS平台工具、AI模型、智能体、AI应用等标准产品、解决方案与定制服务获得的业务收入。</t>
  </si>
  <si>
    <t>智能服务收入情况（价值）</t>
  </si>
  <si>
    <t>按照上市公司三大主业中智能服务收入口径，包含数据算法、具身智能、数智文化、数智电商、行业数智服务五大类服务及产品产生的全网对外销售收入。</t>
  </si>
  <si>
    <t>外部影响力
（5分）</t>
  </si>
  <si>
    <t>积极参与属地社会、产业数字化转型，强化数智赋能成果对外赋能、价值变现，建立信息服务科技创新公司新形象，持续夯实数智化转型领先地位</t>
  </si>
  <si>
    <t>获得省部委认定数智化产业赋能奖项</t>
  </si>
  <si>
    <t>本年度获得省部委及以上认定数智化产业赋能奖项数，包括不限于由国家部委、省人民政府、通管局、国家知识产权局颁布的奖项。</t>
  </si>
  <si>
    <t>提供公司收文或权威网站发布</t>
  </si>
  <si>
    <t>获得权威行业认定数智化产业赋能奖项</t>
  </si>
  <si>
    <t>本年度获得权威行业认定数智化产业赋能奖项数，包括中国通信学会、中国电子学会、中国通信企业协会、国际电信联盟。</t>
  </si>
  <si>
    <t>数智赋能成熟度评估模型-XXX专业公司评估版</t>
  </si>
  <si>
    <t>适用范围（哪些专直公司）</t>
  </si>
  <si>
    <t>保障机制完备性
（4分）</t>
  </si>
  <si>
    <t>数智人才建设
（6分）</t>
  </si>
  <si>
    <t>数智运营（32分）</t>
  </si>
  <si>
    <t>研发设计
（14分）</t>
  </si>
  <si>
    <t>围绕“四共”研发体系建设，体现灵畿科研平台等数智赋能举措对研发创新的贡献程度</t>
  </si>
  <si>
    <t>除了国际、财务、投资、党校、园区建设、供应链6个单位，其余15个公司适用。</t>
  </si>
  <si>
    <t>围绕客户全生命周期精准运营，从工单流程效率、产品智能化能力、触点集约化、数据治理等，体现数智赋能举措对市场、政企、客服运营水平提升的贡献程度</t>
  </si>
  <si>
    <t>市场领域：触客及专业公司自有产品数据直采完成情况</t>
  </si>
  <si>
    <t>触客及专业公司自有产品数据直采完成率=已完成直采数据的数据/计划完成直采数据的数据*100%。</t>
  </si>
  <si>
    <t>专业公司产品系统、梧桐大数据平台、一级产商品中心、渠道运营平台取数</t>
  </si>
  <si>
    <t>仅智家中心、互联网、咪咕、终端、在线、金科6个适用，其余15个专直公司不适用。</t>
  </si>
  <si>
    <t>市场领域：全网原子产品入库情况</t>
  </si>
  <si>
    <t>完成原子产品清单梳理，并实现清单内产品接入全网统一原子产品库。</t>
  </si>
  <si>
    <t>李建平 13910627687
lijianping@chinamobile.com</t>
  </si>
  <si>
    <t>一级产商品中心取数</t>
  </si>
  <si>
    <t>仅智家中心、互联网、咪咕、终端、在线、金科、国际7个适用，其余14个专直公司不适用。</t>
  </si>
  <si>
    <t>市场领域：渠道运营平台统一触点库接入及应用情况</t>
  </si>
  <si>
    <t>完成触点接入渠道运营平台（原触点融通平台）统一触点库，并通过统一投放能力实现生产应用，并回传执行数据，支持全链路闭环。</t>
  </si>
  <si>
    <t>渠道运营平台取数</t>
  </si>
  <si>
    <t>客服领域：数据上传及时率</t>
  </si>
  <si>
    <t>为保障专业公司产品服务质量提升，提高客户使用体验，汇聚各专业公司产品投诉、服务质量标准、客户数、业务开通时长等数据，提供专业服务的量化指标展示分析能力。设定数据上报及时率指标 ，及时率=及时上报数据文件个数/需上报数据文件个数×100%。</t>
  </si>
  <si>
    <t>涉及在线公司、互联网、物联网、咪咕、杭研、金科公司、铁通公司</t>
  </si>
  <si>
    <t>客服领域：数据上报完整性</t>
  </si>
  <si>
    <t>为保障专业公司产品服务质量提升，提高客户使用体验，汇聚各专业公司产品投诉、服务质量标准、客户数、业务开通时长等数据，提供专业服务的量化指标展示分析能力。设定数据上报完整性指标 ，完整性=数据内容完整文件数/需上报数据文件个数×100%。</t>
  </si>
  <si>
    <t>政企领域：政企专业公司业务平台的客户数、业务量、产品使用情况等数据数据上传完整性</t>
  </si>
  <si>
    <t>以S域收敛系统清单为范围，实现本单位的业务量数据上报同步至总部。数据上传完整率 =（无缺失的数据个数/需上报数据个数）*100%，</t>
  </si>
  <si>
    <t>姚乐天 13691202853
yaoletian@chinamobile.com</t>
  </si>
  <si>
    <t>集中化大数据平台取数</t>
  </si>
  <si>
    <t>涉及物联网公司、云能、成研、上研、集成、卓望</t>
  </si>
  <si>
    <t>面向办公、党建、战略管理、法务合规、计划建设、财务、人力、审计、纪检、巡视、供应链、工会12个管理领域，体现数智赋能举措对内部运营管理水平提升的贡献度</t>
  </si>
  <si>
    <t>数智能力
（33分）</t>
  </si>
  <si>
    <t>系统集约
（12分）</t>
  </si>
  <si>
    <t>强化属于推理资源保障，聚焦磐智AI平台、聚智智能体平台、数据供给和管理平台三大平台，以及总部统一打造的RAG、Alpha Data两大工具，实现全网各单位应用尽用，各单位基于统一的AI平台工具能力，面向实际生产打造AI场景应用，数智员工等切实发挥AI价值实效</t>
  </si>
  <si>
    <t xml:space="preserve">聚智智能体平台取数
</t>
  </si>
  <si>
    <t>数据供给平台取数</t>
  </si>
  <si>
    <t>数智治理（15分）</t>
  </si>
  <si>
    <t>数据治理
（9分）</t>
  </si>
  <si>
    <t>（1）高质量数据集共建率=各单位贡献高质量数据集个数/全部专直单位贡献高质量数据集总个数； 其中，各单位贡献高质量数据集个数以汇聚到数据供给与管理平台的数据集数量为准，各单位需提供数据集的实际使用场景证明，由数据供给与管理平台进行质量复评。
（2）高质量数据集使用率=各单位申请使用高质量数据集个数/全部专直单位申请使用高质量数据集总个数； 其中，各单位申请使用高质量数据集个数以向数据供给与管理平台申请使用已建成的高质量数据集为准，且需反馈实际应用成效。</t>
  </si>
  <si>
    <t>所有专直单位</t>
  </si>
  <si>
    <t>所有专直单位（暂不含投资公司和供应链管理中心）</t>
  </si>
  <si>
    <t>梧桐大数据出具运营评估材料，各单位配合确认</t>
  </si>
  <si>
    <t>闫晓梅 15735045592
yanxiaomei@chinamobile.com</t>
  </si>
  <si>
    <t>各单位提供评估材料，数智事业部联合业务部门评审</t>
  </si>
  <si>
    <t>所有专直单位（暂不含投资公司、卓望、启明星辰）</t>
  </si>
  <si>
    <t>流程治理
（6分）</t>
  </si>
  <si>
    <t>流程治理组织建设水平：
（1）组织层面：建立“领导挂帅+Owner主责+专班推进”的流程治理工作推进模式，得1分。
（2）专班层面：具备明确的跨部门“业务+流程+技术”协同治理工作专班机制和协同路径，得0.5分。
（3）保障层面：流程治理专项在单位内部有明确的绩效考评机制和治理激励手段，得1.5分。</t>
  </si>
  <si>
    <t>数智能力收入情况（价值）</t>
  </si>
  <si>
    <t>数智能力赋能数据算法类产品并计入管会报表的收入。
数据算法类产品包括：梧桐大数据、数据要素解决方案、九天模型、AIOS平台工具、通用智能体、灵犀智能体、垂类智能体等。</t>
  </si>
  <si>
    <t>数智能力效能数据</t>
  </si>
  <si>
    <t>数智能力效能数据包括：能力对外收入和能力复用降本。
能力对外收入价值贡献 = 产品或项目销售金额×能力贡献占比。
能力降本额 = 能力建设投入节约+能力运营投入节约-能力结算金额。</t>
  </si>
  <si>
    <t>本年度获得省部委及以上认定数智化产业赋能奖项数，包括不限于由国家部委、省人民政府、通管局、国家知识产权局颁布的奖项</t>
  </si>
  <si>
    <t>验收结论及要求：
通过：所有必选功能 100% 满足验收标准，核心流程闭环可正常运转；
暂缓通过：必选功能达标率≥90%，但存在个别非核心细节问题，需在 30 日内完成整改并复核；
不通过：必选功能达标率＜90%，或存在核心流程断裂等问题，需重新建设后再次申请验收</t>
  </si>
  <si>
    <t>一级分类</t>
  </si>
  <si>
    <t>二级分类</t>
  </si>
  <si>
    <t>功能项</t>
  </si>
  <si>
    <t>必选 (M)/ 可选 (O)</t>
  </si>
  <si>
    <t>详细验收要点</t>
  </si>
  <si>
    <t>具体验收标准</t>
  </si>
  <si>
    <r>
      <rPr>
        <b/>
        <sz val="11"/>
        <color rgb="FF000000"/>
        <rFont val="微软雅黑"/>
        <charset val="134"/>
      </rPr>
      <t xml:space="preserve">分值设定
</t>
    </r>
    <r>
      <rPr>
        <sz val="11"/>
        <color rgb="FF000000"/>
        <rFont val="微软雅黑"/>
        <charset val="134"/>
      </rPr>
      <t>（完全满足可得该项分值满分，部分满足得分值的50%，不满足得0分）</t>
    </r>
  </si>
  <si>
    <t>自评分</t>
  </si>
  <si>
    <t>验收结果</t>
  </si>
  <si>
    <t>验收补充记录</t>
  </si>
  <si>
    <t>一、平台基础与统一规范</t>
  </si>
  <si>
    <t>统一规范化
（中屏）</t>
  </si>
  <si>
    <t>平台命名统一</t>
  </si>
  <si>
    <t>M</t>
  </si>
  <si>
    <t>1、省级平台命名是否符合集团规范；2、命名唯一性与辨识度</t>
  </si>
  <si>
    <t>严格采用 “XX 移动市场运营平台” 标准命名（如 “青海移动市场运营平台”），无自定义名称，与集团备案名称一致</t>
  </si>
  <si>
    <t>菜单结构统一</t>
  </si>
  <si>
    <t>1、一级菜单是否覆盖核心模块；2、运营专区是否包含必填场景；3、菜单命名是否规范</t>
  </si>
  <si>
    <t>1、一级菜单必须包含 “运营概览、运营专区、能力中心、基础功能” 四大模块；2、运营专区下必须包含 “流量运营、存量运营、细分市场” 三类核心场景，其中存量运营下必须包含离网维系、家庭融合运营、中高端保有场景；3、菜单命名与集团规范一致，二级菜单可省侧扩展但需报备</t>
  </si>
  <si>
    <t>界面框架统一</t>
  </si>
  <si>
    <t>1、页面布局是否符合标准；2、核心交互逻辑是否一致；3、视觉风格是否统一</t>
  </si>
  <si>
    <t>1、采用 “顶部导航 + 左侧菜单 + 中间内容区 + 底部状态栏” 标准布局；2、按钮样式、弹窗规则、字体字号统一，无明显视觉差异</t>
  </si>
  <si>
    <t>统一权限管理</t>
  </si>
  <si>
    <t>1、权限层级是否完整；2、认证方式是否合规；3、操作留痕是否可追溯</t>
  </si>
  <si>
    <t>1、实现省 - 市 - 县 - 格 - 人五级权限管控，权限颗粒度至功能模块 + 数据范围；2、集成 4A 认证系统，支持单点登录，无独立账号体系；</t>
  </si>
  <si>
    <t>二、核心运营场景（中屏）</t>
  </si>
  <si>
    <t>运营概览</t>
  </si>
  <si>
    <t>——</t>
  </si>
  <si>
    <t>1、市场运营关键指标可视化
2、调度跟踪看板可视化</t>
  </si>
  <si>
    <t>1、展示市场运营关键指标信息及数据趋势、支持数据下钻功能；
2、展示运营工单的整体态势与执行情况</t>
  </si>
  <si>
    <t>流量运营场景</t>
  </si>
  <si>
    <t>场景概览</t>
  </si>
  <si>
    <t>1、展示流量运营场景的关键指标
2、指标数据支持下钻</t>
  </si>
  <si>
    <t>1、展示体系化指标情况，如核心指标、流量规模、价值转化、客户规模、流量用量、流量来源分析等，并支持异常指标告警监控，异常指标可直接发起指标调度。
2、指标数据支持按照省市县格等多维度分解和穿透</t>
  </si>
  <si>
    <t>指标 - 客群驱动模式</t>
  </si>
  <si>
    <t>1、流量运营指标树关联及监控预警可视化
2、根因分析、客群定位与策略匹配
3、调度执行可视化
4、效果评估可视化</t>
  </si>
  <si>
    <t>1、支持流量价值指标树展示，包括根指标(例如:流量总收入)可逐层拆解至叶子节点，支持节点下钻查看指标趋势与关联客群等；支持系统监控流量指标异动，可直接显示至问题指标并自动定位问题子指标；
2、支持输出指标异动的根因分析报告；通过问题指标定位流量运营相关的潜在风险客群；根据客群属性（如流量使用特征 + 客户价值 + 场景偏好 + 风险属性）匹配推荐策略；策略支持人工调整；
3、支持工单下发至省-市-县-格、触点等，支持线上与线下渠道执行情况展示及工单进度监控:
4、支持可视化跟踪运营效果如工单执行情况、指标改善情况、策略转化率等信息。</t>
  </si>
  <si>
    <t>商机驱动模式</t>
  </si>
  <si>
    <t>1、商机捕获与评级
2、策略匹配与触达
3、调度执行可视化</t>
  </si>
  <si>
    <t>1、支持针对流量达量预警、特定内容高频访问、地板价套餐客户查询高流量套餐、零流量使用预警等商机事件，完成商机识别，商机分级，支持商机可视化
2、根据商机类型与评级自动匹配预配置策略（含产品、话术、渠道、时机等），推荐策略支持人工调整。
3、支持将以上策略配置推送至对应渠道，并可视化展示工单调度的状态、进度、流转情况、评估反馈等信息</t>
  </si>
  <si>
    <t>区域攻坚模式</t>
  </si>
  <si>
    <t>1、区域识别与作战地图可视化
2、策略制定与派发可视化
3、执行闭环可视化</t>
  </si>
  <si>
    <t>1、支持通过GIS地图+大数据分析识别如“高流量需求低渗透区域、5G终端高占比低迁转区域、竞对流量促销热点区域、高校流量潜力区域”等多类攻坚区域，生成攻坚清单，在作战地图空间化呈现
2、支持针对下钻分析区域内客户特征、竞争态势、网络资源等，输出根因报告等分析
3、支持针对不同区域类型、客群属性匹配特有的推荐策略，任务派发与节奏控制可视化
4、支持查询一线人员执行情况，并提供反馈入口，反馈结果可查询。
5、攻坚周期结束后评估区域指标改善情况（渗透率、转化率等）可视化呈现。</t>
  </si>
  <si>
    <t>存量运营-离网维系</t>
  </si>
  <si>
    <t>1、展示离网维系场景的关键指标
2、指标数据支持下钻</t>
  </si>
  <si>
    <t>1、展示体系化指标情况，如离网规模压降、离网率、离网损失、离网客户挽回率等，并支持异常指标告警监控，异常指标可直接发起指标调度。
2、指标数据支持按照省市县格等多维度分解和穿透</t>
  </si>
  <si>
    <t>1、离网指标树关联及监控预警可视化
2、根因分析、客群定位与策略匹配
3、调度执行可视化
4、效果评估可视化</t>
  </si>
  <si>
    <t>1、支持离网指标树展示，如以“离网率”为根指标，拆解为携转离网、欠费离网、沉默离网等一级指标，支持节点下钻；系统自动监控离网率等指标异动，触发预警。
2、支持输出根因分析报告，定位风险客群（如价格敏感型、服务不满型、合约到期型等）；匹配差异化挽留策略，策略可人工调整
3、工单以可视化形式下发至省-市-县-格，支持线上与线下渠道执行情况展示及工单进度监控:；
4、评估中心可视化跟踪运营效果如工单执行情况、指标改善情况、策略转化率等信息。</t>
  </si>
  <si>
    <t>支持针对欠费预警、沉默客户、携转高风险客户等识别商机，并进行策略配置及推送，支持策略执行、工单闭环等多维评估</t>
  </si>
  <si>
    <t>O</t>
  </si>
  <si>
    <t>支持识别离网率高的小区等区域，制定攻坚清单及策略配置，支持策略执行、工单闭环等多维评估。</t>
  </si>
  <si>
    <t>存量运营-家庭融合运营</t>
  </si>
  <si>
    <t>1、展示家庭运营场景的关键指标
2、指标数据支持下钻</t>
  </si>
  <si>
    <t>1、展示体系化指标情况，指标从 “单用户视角” 升级为 “家庭视角”，按 “规模、价值、融合、体验、稳定性” 等构建核心指标体系，并支持异常指标告警监控，异常指标可直接发起指标调度。
2、指标数据支持多维度分解和穿透</t>
  </si>
  <si>
    <t>1、家庭融合指标树关联及监控预警可视化
2、根因分析、客群定位与策略匹配
3、调度执行可视化
4、效果评估可视化</t>
  </si>
  <si>
    <t>1、支持家庭融合指标树展示支持节点下钻；系统自动监控家庭融合率等异动及预警等
2、输出根因分析报告，定位家庭客群；匹配融合策略，策略可人工调整
3、工单以可视化形式下发至省-市-县-格，支持线上与线下渠道执行情况展示及工单进度监控:
4、评估中心可视化跟踪运营效果如工单执行情况、指标改善情况、策略转化率等信息。</t>
  </si>
  <si>
    <t>支持针对新装宽带、智能设备接入、单转融潜客、合约临期、家庭网络质差等事件识别商机，并进行策略配置及推送，支持策略执行、工单闭环等多维评估。
示例场景：全球通宽移融合潜客营销</t>
  </si>
  <si>
    <t>支持识别低渗透、竞对高、新建、老旧等小区，制定攻坚清单及策略配置，支持策略执行、工单闭环等多维评估。</t>
  </si>
  <si>
    <t>存量运营-中高端保有</t>
  </si>
  <si>
    <t>1、展示中高端保有场景的关键指标
2、指标数据支持下钻</t>
  </si>
  <si>
    <t>1、展示体系化指标情况，如中高端客户规模、ARPU、离网率、升档率、降档率、携转率、融合渗透率、合约率等，并支持异常指标告警监控，异常指标可直接发起指标调度。
2、指标数据支持按照省市县格等多维度分解和穿透</t>
  </si>
  <si>
    <t>1、中高端保有指标树关联及监控预警可视化
2、根因分析、客群定位与策略匹配
3、调度执行可视化
4、效果评估可视化</t>
  </si>
  <si>
    <t>1、支持中高端保有指标树展示，如以“拍照中高端（全球通）价值保有率”为根指标，拆解为正向提值、逆向控损等一级指标，支持节点下钻；系统自动监控指标异动，触发预警。
2、支持输出根因分析报告，定位风险客群（如全球通客户降档率突增等），匹配专属策略，策略可人工调整
3、工单以可视化形式下发至省-市-县-格，支持线上与线下渠道执行情况展示及工单进度监控:；
4、评估中心可视化跟踪运营效果如工单执行情况、指标改善情况、策略转化率等信息。</t>
  </si>
  <si>
    <t>支持针对携转查询客户、合约临期客户等识别商机，并进行策略配置及推送，支持策略执行、工单闭环等多维评估</t>
  </si>
  <si>
    <t>支持识别中高端客户密集区域，制定攻坚清单及策略配置，支持策略执行、工单闭环等多维评估。</t>
  </si>
  <si>
    <t>细分市场场景
（银发 / 校园 / 国际漫游）</t>
  </si>
  <si>
    <t>1、展示细分场景的关键指标
2、指标数据支持下钻</t>
  </si>
  <si>
    <t>1、展示体系化指标情况，并支持异常指标告警监控，异常指标可直接发起指标调度。
2、指标数据支持按照省市县格等多维度分解和穿透</t>
  </si>
  <si>
    <t>核心细分场景覆盖</t>
  </si>
  <si>
    <t>1、细分市场业务场景指标树关联及监控预警可视化
2、根因分析、场景客群定位与策略匹配
3、调度执行可视化
4、效果评估可视化</t>
  </si>
  <si>
    <t>1、支持细分市场业务场景指标树关联展示，根指标可逐层拆解至叶子节点，支持节点下钻查看指标趋势与关联客群等；监控场景关键指标并具备预警功能。
2、输出根因报告，定位场景客群；匹配专属策略，策略可人工调整
3、工单以可视化形式下发至省-市-县-格，支持线上与线下渠道执行情况展示及工单进度监控:
4、评估中心可视化跟踪运营效果如工单执行情况、指标改善情况、策略转化率等信息。</t>
  </si>
  <si>
    <t>三、核心能力中心</t>
  </si>
  <si>
    <t>洞察中心</t>
  </si>
  <si>
    <t>洞察中心概览</t>
  </si>
  <si>
    <t>1、提供统一菜单入口
2、提供统一的指标树洞察视图&amp;指标洞察视图</t>
  </si>
  <si>
    <t>1、按照平台菜单结构的统一要求，提供统一的菜单入口
2、提供全平台全场景的指标树总览页面和指标总览页面。</t>
  </si>
  <si>
    <t>指标洞察</t>
  </si>
  <si>
    <t>1、指标配置能力
2、指标树配置能力
3、指标预警能力
4、指标监控分析能力</t>
  </si>
  <si>
    <t>1、指标信息的增删改查功能，其中包含指标名称、指标来源、数据来源、关联运营场景等信息
2、指标树信息的增删改查、发布功能，支持可视化页面配置指标树信息，支持指标树的版本管理。
3、具备指标预警的规则配置及预警能力，预警信息通知渠道包含平台消息、小屏推送、短信等一种或多种。
4、支持关键指标的监控分析；支持指标趋势分析（日/周/月/年），支持同比、环比、目标对比等维度</t>
  </si>
  <si>
    <t>客群洞察</t>
  </si>
  <si>
    <t>1、客群标签配置能力
2、客群圈选管理
3、客群画像能力</t>
  </si>
  <si>
    <t>1、复用经分四度三维标签体系，包含自然属性、消费能力、行为特征、价值等级4类核心标签的配置功能。
2、支持通过多标签组合圈选客群或进行客群细分，生成精细化目标运营客群。
3、对圈选的客群进行自动化特征聚类分析，输出客群整体画像（如年龄分布、ARPU区间、主流套餐、高频行为等）</t>
  </si>
  <si>
    <t>行为洞察</t>
  </si>
  <si>
    <t>1、核心行为事件是否可捕获
2、是否支持行为轨迹分析
3、是否支持异常行为检测与服务预警</t>
  </si>
  <si>
    <t>1、可捕获业务办理（套餐变更、流量包订购）、用量达量、合约临期、投诉等核心行为事件，支持行为事件的查询功能
2、支持客户行为轨迹统计与脱敏可视化
3、支持异常行为检测自动生成服务预警</t>
  </si>
  <si>
    <t>看管洞察</t>
  </si>
  <si>
    <t>1、看管关系管理能力
2、看管关系全景视图
3、看管任务统计</t>
  </si>
  <si>
    <t>1、支持客户/区域与责任人（省-市-县-格-人）的看管关系批量导入、分配、调整、查询
看管统一视图，
2、聚合展示所辖客户/区域的关键指标、异动事件、待办任务、商机清单；支持在看管视图内直接发起各类任务，基于看管关系生成工单派发
3、提供看管任务进展跟踪与效果统计分析功能。</t>
  </si>
  <si>
    <t>商机洞察</t>
  </si>
  <si>
    <t>1、商机管理能力
2、商机评级
3、商机预警能力
4、商机数据是否入格</t>
  </si>
  <si>
    <t>1、支持多渠道商机自动采集与手动录入，支持商机数据的查询。
2、支持人工/AI评级（高/中/低），商机支持按照优先级排序
3、具备商机预警的规则配置及预警能力。
4、商机数据入格，支持网格级精准触达</t>
  </si>
  <si>
    <t>策略中心</t>
  </si>
  <si>
    <t>策略中心概览</t>
  </si>
  <si>
    <t>1、提供统一菜单入口
2、提供策略总览视图</t>
  </si>
  <si>
    <t>1、按照平台菜单结构的统一要求，提供统一的菜单入口
2、提供全平台全场景的策略总览视图，可针对指标场景、指标总数、策略建议总数、客群总数、覆盖用户总规模、策略推荐任务总数、策略推荐下发总数、策略推荐下发用户总规模、策略推荐下发用户总接触量、策略推荐下发用户总办理量等信息进行数据展示。</t>
  </si>
  <si>
    <t>策略配置基础能力</t>
  </si>
  <si>
    <t>1、策略信息的配置能力</t>
  </si>
  <si>
    <t>1、策略的增删改查、审核、发布功能（策略包含策略类型、场景、客群、产品、渠道、触发时机等信息）。</t>
  </si>
  <si>
    <t>调度中心</t>
  </si>
  <si>
    <t>调度中心概览</t>
  </si>
  <si>
    <t>1、提供统一菜单入口
2、提供工单调度的总览视图</t>
  </si>
  <si>
    <t>1、按照平台菜单结构的统一要求，提供统一的菜单入口
2、提供工单调度的总览视图，包含统计级的工单信息（工单总量、待处理量、在途量、今日完成量等）、各区域的工单调度统计信息（区域、总工单数、在途数、已完成数、超市工单数、平均处理时长、完成率等信息）、工单列表信息。</t>
  </si>
  <si>
    <t>工单管理</t>
  </si>
  <si>
    <t>1、工单类型管理能力
2、工单管理能力</t>
  </si>
  <si>
    <t>1、工单类型的增删改查功能，包含但不限于生产类工单、管理类工单等。
2、支持工单支持按类型、状态、区域多维度查询；工单信息中包含客户信息、策略话术、执行时限、责任人等核心指标；工单状态实时展示；具备工单处理及反馈能力，工单执行轨迹可查询，工单反馈结果可查询。</t>
  </si>
  <si>
    <t>评估中心</t>
  </si>
  <si>
    <t>评估中心概览</t>
  </si>
  <si>
    <t>1、是否提供统一评估入口
2、提供评估信息的总览视图</t>
  </si>
  <si>
    <t>1、按照平台菜单结构的统一要求，提供统一的菜单入口
2、支持分场景展示运营效果情况，如工单执行情况、指标改善情况、策略转化率等信息。</t>
  </si>
  <si>
    <t>工单效能评估</t>
  </si>
  <si>
    <r>
      <rPr>
        <sz val="11"/>
        <color rgb="FF000000"/>
        <rFont val="微软雅黑"/>
        <charset val="134"/>
      </rPr>
      <t>1、工单全生命周期指标量化</t>
    </r>
    <r>
      <rPr>
        <sz val="12"/>
        <color rgb="FF000000"/>
        <rFont val="微软雅黑"/>
        <charset val="134"/>
      </rPr>
      <t xml:space="preserve">
2、多维度统计查询</t>
    </r>
  </si>
  <si>
    <r>
      <rPr>
        <sz val="11"/>
        <color rgb="FF000000"/>
        <rFont val="微软雅黑"/>
        <charset val="134"/>
      </rPr>
      <t>1、跟踪工单创建至归档各节点，量化闭环率、处理时长、超时率</t>
    </r>
    <r>
      <rPr>
        <sz val="12"/>
        <color rgb="FF000000"/>
        <rFont val="微软雅黑"/>
        <charset val="134"/>
      </rPr>
      <t xml:space="preserve">
2、支持按区域、场景、工单类型、月份统计工单情况，支持数据下钻</t>
    </r>
  </si>
  <si>
    <t>策略效果评估</t>
  </si>
  <si>
    <r>
      <rPr>
        <sz val="11"/>
        <color rgb="FF000000"/>
        <rFont val="微软雅黑"/>
        <charset val="134"/>
      </rPr>
      <t>1、</t>
    </r>
    <r>
      <rPr>
        <sz val="12"/>
        <color rgb="FF000000"/>
        <rFont val="微软雅黑"/>
        <charset val="134"/>
      </rPr>
      <t>效果量化评估
2、多维度统计查询</t>
    </r>
  </si>
  <si>
    <r>
      <rPr>
        <sz val="11"/>
        <color rgb="FF000000"/>
        <rFont val="微软雅黑"/>
        <charset val="134"/>
      </rPr>
      <t>1、</t>
    </r>
    <r>
      <rPr>
        <sz val="12"/>
        <color rgb="FF000000"/>
        <rFont val="微软雅黑"/>
        <charset val="134"/>
      </rPr>
      <t>量化策略执行的触达率、转化率等信息，支持按照指标、场景等维度进行查询
2、支持按区域、场景、月份统计策略执行情况，支持数据下钻</t>
    </r>
  </si>
  <si>
    <t>渠道效能评估</t>
  </si>
  <si>
    <t>1、是否支持渠道转化漏斗分析
2、是否支持跨渠道联动效果评估
3、是否支持场景适配性评估
4、是否支持多维度下钻</t>
  </si>
  <si>
    <t>1、支持展示各渠道（APP、短信、企微、外呼、营业厅等）的触达→点击→办理→转化漏斗，量化各环节转化率
2、支持分析多渠道协同执行效果，如同一客户跨渠道转化路径、渠道间互补性
3、支持评估不同运营场景（如流量超套、家庭融合）下各渠道的适配性与效能差异
4、渠道效能指标可下钻至单一策略、单一网格、单一客群，定位具体优劣</t>
  </si>
  <si>
    <t>人员效能评估</t>
  </si>
  <si>
    <t>1、是否构建多维度人员指标体系
2、是否支持层级排名
3、是否输出优化建议</t>
  </si>
  <si>
    <t>1、构建涵盖工单完成量、转化率、客户满意度、超时率等多维度的人员效能指标体系
2、支持省-市-县-格-人多层级效能排名，可对比个人、网格、区域间的效能差异
3、基于效能评估结果自动输出优化建议（如培训推荐、负荷调整），支持管理者决策</t>
  </si>
  <si>
    <t>四、三屏联动</t>
  </si>
  <si>
    <t>三屏基础协同</t>
  </si>
  <si>
    <t>大屏：全域态势监控</t>
  </si>
  <si>
    <t>1、核心指标是否覆盖
2、可视化是否清晰
3、告警是否有效
4、是否支持决策联动</t>
  </si>
  <si>
    <t>1、大屏展示运营概览、流量运营、存量运营、细分市场等核心指标
2、采用折线图、柱状图、饼图、地图等图表，支持切换时间维度（日/周/月）
3、核心指标异常时展示告警标识
4、支持从大屏直接触发调度动作，联动中屏快速响应。</t>
  </si>
  <si>
    <t>中屏：运营调度中枢</t>
  </si>
  <si>
    <t>1、工作台功能是否完整</t>
  </si>
  <si>
    <t>1、中屏工作台具体功能参考“工作台首页”工作项。
2、支持核心场景策略配置，策略流转高效
3、实时监控省-市-县-格四级执行数据查询，支持数据下钻等功能</t>
  </si>
  <si>
    <t>小屏：一线执行工具</t>
  </si>
  <si>
    <t>1、核心功能是否覆盖
2、数据是否同步
4、流程闭环</t>
  </si>
  <si>
    <t>1、小屏包含指标看板（网格/个人）、工单接收与反馈、客户画像快查、AI智能推荐、快捷办理5大核心功能
2、与中屏/大屏数据实时同步
3、支持嵌入营销推荐智能体相关能力，实现推荐-办理-结果反馈全流程在小屏完成，如针对流量运营场景可进行精准推荐。</t>
  </si>
  <si>
    <t>屏间数据协同一致性</t>
  </si>
  <si>
    <t>1、核心数据是否同源
2、操作是否联动</t>
  </si>
  <si>
    <t>1、三屏共用统一数据底座，指标、标签、工单等数据无差异
2、大屏调度任务同步至中屏，中屏派发工单同步至小屏，小屏反馈结果同步至中屏/大屏，操作联动无断点</t>
  </si>
  <si>
    <t xml:space="preserve">五、运营注智
</t>
  </si>
  <si>
    <t>AI 赋能场景</t>
  </si>
  <si>
    <t>AI交互入口收敛</t>
  </si>
  <si>
    <t>中、小屏AI交互入口收敛至灵犀营服助手</t>
  </si>
  <si>
    <t>AI 指标监控预警</t>
  </si>
  <si>
    <t>1、监控范围是否覆盖核心场景指标
2、预警规则是否可灵活配置
3、预警可触达
4、是否支持指标下钻定位异常</t>
  </si>
  <si>
    <t>1、监控覆盖流量、存量、细分市场核心场景指标，无关键指标缺失
2、支持按阈值、同比/环比、目标差距配置预警规则，规则可新增、修改、禁用
3、预警信息可通过平台消息、小屏推送、短信等渠道下发，并触达至相关负责人。
4、预警指标可下钻至细分维度（省-市-县-格、客群、产品），定位具体异常点。</t>
  </si>
  <si>
    <t>AI 根因分析</t>
  </si>
  <si>
    <t>1、是否支持指标树逐层下钻
2、归因维度是否全面
3、是否输出可理解的根因结论
4、是否支持人工调整</t>
  </si>
  <si>
    <t>1、依托指标树实现宏观到微观逐层下钻，定位影响根指标的核心子指标
2、融合历史/实时数据，从客群、产品、渠道等多维度进行归因
3、自动输出可理解的根因报告，包含异动描述、根因候选列表、影响程度
4、支持人工对根因结果进行修改</t>
  </si>
  <si>
    <t>AI 数据洞察报告</t>
  </si>
  <si>
    <t>1、是否支持模板化配置报告框架
2、是否支持大模型自动生成报告
3、报告是否包含根因、客群、业务建议
4、是否支持一键转为策略工单</t>
  </si>
  <si>
    <t>1、支持模板化配置报告框架，含根因、客群、业务建议等核心模块
2、大模型驱动自动生成、智能归因与自然语言输出
3、报告包含异常描述、根因分析、关联客群特征、策略建议
4、根因结论支持一键转为策略工单，联动调度中心派发</t>
  </si>
  <si>
    <t>AI 指标诊断</t>
  </si>
  <si>
    <t>1、是否支持自然语言交互（语音/文本）
2、是否自动多维度下钻与归因
3、诊断结果是否可视化
4、是否联动策略工单与人工反馈</t>
  </si>
  <si>
    <t>1、基于“AI灵犀”标准化能力，复用大模型语义理解、意图识别、指标映射能力，支持语音/文本自然语言提问
2、自动进行多维下钻（省-市-县-格、客群、产品）与归因分析
3、诊断结果以“文字结论+数据图表”形式展示，包含异常描述、根因分析、关联指标趋势，支持报告导出（Excel/PDF）
4、诊断结果可联动生成策略工单，支持人工反馈优化模型</t>
  </si>
  <si>
    <t>AI 智能调度</t>
  </si>
  <si>
    <t>1、工单排序是否合理
2、人员匹配是否精准</t>
  </si>
  <si>
    <t>1、支持按商机价值、客户等级、执行时效自动排序工单
2、按“责任田”+人员技能标签匹配执行人员</t>
  </si>
  <si>
    <t>AI 辅助定策</t>
  </si>
  <si>
    <t>1、推荐是否精准
2、话术是否可生成</t>
  </si>
  <si>
    <t>1、基于客群画像与历史数据，智能推荐“客群-产品-渠道”组合策略
2、可生成标准化营销话术，支持人工调整关键信息，话术无违规表述</t>
  </si>
  <si>
    <t>六、基础功能</t>
  </si>
  <si>
    <t>基础功能</t>
  </si>
  <si>
    <t>工作台管理</t>
  </si>
  <si>
    <t>1、是否支持个性化门户定制
2、是否支持“千人千面”工作台
3、快捷入口配置是否灵活
4、是否支持个人配置</t>
  </si>
  <si>
    <t>1、支持增删组件、自定义布局，配置常用功能快捷入口
2、可自定义关注重点指标，集成待办任务列表一键处理
3、集成统一消息中心，展示未读消息并支持一键跳转
4、支持保存个人配置的工作台展示内容</t>
  </si>
  <si>
    <t>监控预警管理</t>
  </si>
  <si>
    <t>1、预警类型是否覆盖
2、通知渠道是否有效
3、预警处理是否闭环</t>
  </si>
  <si>
    <t>1、覆盖指标异动预警、工单超时预警等多种类型
2、通知渠道包含平台消息、小屏推送、短信等多种渠道，确保责任人及时接收
3、预警处理需反馈结果（已处理/无需处理），支持预警处理的结果查询。</t>
  </si>
  <si>
    <t>知识库管理</t>
  </si>
  <si>
    <t>1、知识信息是否完整
2、知识内容管理能力</t>
  </si>
  <si>
    <t>1、包含如策略案例（成功/失败）、营销话术、操作手册等内容，核心场景知识无缺失
2、支持按关键词搜索知识库信息；具备知识库信息的增删改查、审核、发布等功能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</si>
</sst>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FF0000"/>
      <name val="微软雅黑"/>
      <charset val="134"/>
    </font>
    <font>
      <b/>
      <sz val="11"/>
      <color rgb="FF000000"/>
      <name val="微软雅黑"/>
      <charset val="134"/>
    </font>
    <font>
      <sz val="11"/>
      <color rgb="FF000000"/>
      <name val="微软雅黑"/>
      <charset val="134"/>
    </font>
    <font>
      <sz val="11"/>
      <name val="微软雅黑"/>
      <charset val="134"/>
    </font>
    <font>
      <b/>
      <sz val="12"/>
      <name val="Microsoft YaHei"/>
      <charset val="134"/>
    </font>
    <font>
      <sz val="12"/>
      <name val="Microsoft YaHei"/>
      <charset val="134"/>
    </font>
    <font>
      <sz val="12"/>
      <name val="微软雅黑"/>
      <charset val="134"/>
    </font>
    <font>
      <sz val="12"/>
      <name val="宋体"/>
      <charset val="134"/>
      <scheme val="minor"/>
    </font>
    <font>
      <sz val="14"/>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微软雅黑"/>
      <charset val="134"/>
    </font>
  </fonts>
  <fills count="35">
    <fill>
      <patternFill patternType="none"/>
    </fill>
    <fill>
      <patternFill patternType="gray125"/>
    </fill>
    <fill>
      <patternFill patternType="solid">
        <fgColor rgb="FFA9D08E"/>
        <bgColor indexed="64"/>
      </patternFill>
    </fill>
    <fill>
      <patternFill patternType="solid">
        <fgColor rgb="FF44B2C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5" borderId="8" applyNumberFormat="0" applyAlignment="0" applyProtection="0">
      <alignment vertical="center"/>
    </xf>
    <xf numFmtId="0" fontId="19" fillId="6" borderId="9" applyNumberFormat="0" applyAlignment="0" applyProtection="0">
      <alignment vertical="center"/>
    </xf>
    <xf numFmtId="0" fontId="20" fillId="6" borderId="8" applyNumberFormat="0" applyAlignment="0" applyProtection="0">
      <alignment vertical="center"/>
    </xf>
    <xf numFmtId="0" fontId="21" fillId="7"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42">
    <xf numFmtId="0" fontId="0" fillId="0" borderId="0" xfId="0">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5" fillId="0" borderId="1"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8" fillId="0" borderId="1" xfId="0" applyFont="1" applyBorder="1">
      <alignment vertical="center"/>
    </xf>
    <xf numFmtId="0" fontId="8" fillId="0" borderId="1" xfId="0" applyFont="1" applyBorder="1" applyAlignment="1">
      <alignment horizontal="center" vertical="center"/>
    </xf>
    <xf numFmtId="0" fontId="0" fillId="0" borderId="0" xfId="0" applyFont="1">
      <alignment vertical="center"/>
    </xf>
    <xf numFmtId="0" fontId="0" fillId="0" borderId="0" xfId="0" applyFill="1">
      <alignment vertical="center"/>
    </xf>
    <xf numFmtId="0" fontId="0" fillId="0" borderId="0" xfId="0" applyAlignment="1">
      <alignment horizontal="center" vertical="center"/>
    </xf>
    <xf numFmtId="0" fontId="0" fillId="0" borderId="0" xfId="0"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dxf>
      <fill>
        <patternFill patternType="solid">
          <bgColor rgb="FF44B2C6" tint="0.9"/>
        </patternFill>
      </fill>
    </dxf>
    <dxf>
      <fill>
        <patternFill patternType="solid">
          <bgColor rgb="FF44B2C6" tint="0.9"/>
        </patternFill>
      </fill>
    </dxf>
    <dxf>
      <font>
        <b val="1"/>
        <i val="0"/>
        <u val="none"/>
        <sz val="11"/>
        <color rgb="FF08090C"/>
      </font>
      <fill>
        <patternFill patternType="solid">
          <bgColor rgb="FF44B2C6" tint="0.8"/>
        </patternFill>
      </fill>
      <border>
        <left/>
        <right style="medium">
          <color rgb="FF44B2C6"/>
        </right>
        <top style="medium">
          <color rgb="FF44B2C6"/>
        </top>
        <bottom style="medium">
          <color rgb="FF44B2C6"/>
        </bottom>
        <vertical/>
        <horizontal/>
      </border>
    </dxf>
    <dxf>
      <font>
        <b val="1"/>
        <i val="0"/>
        <u val="none"/>
        <sz val="11"/>
        <color rgb="FF08090C"/>
      </font>
      <fill>
        <patternFill patternType="solid">
          <bgColor rgb="FF44B2C6" tint="0.8"/>
        </patternFill>
      </fill>
      <border>
        <left style="medium">
          <color rgb="FF44B2C6"/>
        </left>
        <right/>
        <top style="medium">
          <color rgb="FF44B2C6"/>
        </top>
        <bottom style="medium">
          <color rgb="FF44B2C6"/>
        </bottom>
        <vertical/>
        <horizontal/>
      </border>
    </dxf>
    <dxf>
      <font>
        <b val="1"/>
        <i val="0"/>
        <u val="none"/>
        <sz val="11"/>
        <color rgb="FF44B2C6"/>
      </font>
      <fill>
        <patternFill patternType="solid">
          <bgColor rgb="FFFFFFFF"/>
        </patternFill>
      </fill>
      <border>
        <left style="medium">
          <color rgb="FF44B2C6"/>
        </left>
        <right style="medium">
          <color rgb="FF44B2C6"/>
        </right>
        <top style="thin">
          <color rgb="FF44B2C6"/>
        </top>
        <bottom style="medium">
          <color rgb="FF44B2C6"/>
        </bottom>
        <vertical/>
        <horizontal/>
      </border>
    </dxf>
    <dxf>
      <font>
        <b val="1"/>
        <i val="0"/>
        <u val="none"/>
        <sz val="11"/>
        <color rgb="FFFFFFFF"/>
      </font>
      <fill>
        <patternFill patternType="solid">
          <bgColor rgb="FF44B2C6"/>
        </patternFill>
      </fill>
      <border>
        <left style="medium">
          <color rgb="FF44B2C6"/>
        </left>
        <right style="medium">
          <color rgb="FF44B2C6"/>
        </right>
        <top style="medium">
          <color rgb="FF44B2C6"/>
        </top>
        <bottom style="medium">
          <color rgb="FF44B2C6"/>
        </bottom>
        <vertical/>
        <horizontal/>
      </border>
    </dxf>
    <dxf>
      <font>
        <b val="0"/>
        <i val="0"/>
        <u val="none"/>
        <sz val="11"/>
        <color rgb="FF000000"/>
      </font>
      <fill>
        <patternFill patternType="solid">
          <bgColor rgb="FFFFFFFF"/>
        </patternFill>
      </fill>
      <border>
        <left style="medium">
          <color rgb="FF44B2C6"/>
        </left>
        <right style="medium">
          <color rgb="FF44B2C6"/>
        </right>
        <top style="medium">
          <color rgb="FF44B2C6"/>
        </top>
        <bottom style="medium">
          <color rgb="FF44B2C6"/>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镶边列表格样式_235410" count="8" xr9:uid="{17670D85-3DAA-4B56-A333-0917100BAF12}">
      <tableStyleElement type="wholeTable" dxfId="14"/>
      <tableStyleElement type="headerRow" dxfId="13"/>
      <tableStyleElement type="totalRow" dxfId="12"/>
      <tableStyleElement type="firstColumn" dxfId="11"/>
      <tableStyleElement type="lastColumn" dxfId="10"/>
      <tableStyleElement type="secondRowStripe" dxfId="9"/>
      <tableStyleElement type="firstColumnStripe" dxfId="8"/>
      <tableStyleElement type="secondColumnStripe" dxfId="7"/>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mruColors>
      <color rgb="0044B2C6"/>
      <color rgb="00CCFEE5"/>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N56"/>
  <sheetViews>
    <sheetView zoomScale="85" zoomScaleNormal="85" topLeftCell="C1" workbookViewId="0">
      <pane ySplit="6" topLeftCell="A47" activePane="bottomLeft" state="frozen"/>
      <selection/>
      <selection pane="bottomLeft" activeCell="M50" sqref="M50:N51"/>
    </sheetView>
  </sheetViews>
  <sheetFormatPr defaultColWidth="9" defaultRowHeight="13.5"/>
  <cols>
    <col min="1" max="1" width="2.91666666666667" customWidth="1"/>
    <col min="2" max="2" width="16.2666666666667" customWidth="1"/>
    <col min="3" max="3" width="14.275" style="33" customWidth="1"/>
    <col min="4" max="4" width="19.2666666666667" style="33" customWidth="1"/>
    <col min="5" max="5" width="16.6833333333333" style="33" customWidth="1"/>
    <col min="6" max="6" width="53" customWidth="1"/>
    <col min="7" max="7" width="8.43333333333333" style="33" customWidth="1"/>
    <col min="8" max="8" width="20.6583333333333" style="34" customWidth="1"/>
    <col min="9" max="9" width="37.1833333333333" style="33" customWidth="1"/>
    <col min="10" max="10" width="21.4916666666667" style="33" customWidth="1"/>
    <col min="11" max="11" width="32.7166666666667" style="33" customWidth="1"/>
    <col min="12" max="12" width="15.9083333333333" style="33" customWidth="1"/>
    <col min="13" max="13" width="15.9083333333333" customWidth="1"/>
    <col min="14" max="14" width="16.3666666666667" customWidth="1"/>
  </cols>
  <sheetData>
    <row r="2" spans="2:14">
      <c r="B2" s="35" t="s">
        <v>0</v>
      </c>
      <c r="C2" s="35"/>
      <c r="D2" s="35"/>
      <c r="E2" s="35"/>
      <c r="F2" s="35"/>
      <c r="G2" s="35"/>
      <c r="H2" s="36"/>
      <c r="I2" s="35"/>
      <c r="J2" s="35"/>
      <c r="K2" s="35"/>
      <c r="L2" s="35"/>
    </row>
    <row r="3" spans="2:14">
      <c r="B3" s="35"/>
      <c r="C3" s="35"/>
      <c r="D3" s="35"/>
      <c r="E3" s="35"/>
      <c r="F3" s="35"/>
      <c r="G3" s="35"/>
      <c r="H3" s="36"/>
      <c r="I3" s="35"/>
      <c r="J3" s="35"/>
      <c r="K3" s="35"/>
      <c r="L3" s="35"/>
    </row>
    <row r="4" spans="2:14">
      <c r="B4" s="35"/>
      <c r="C4" s="35"/>
      <c r="D4" s="35"/>
      <c r="E4" s="35"/>
      <c r="F4" s="35"/>
      <c r="G4" s="35"/>
      <c r="H4" s="36"/>
      <c r="I4" s="35"/>
      <c r="J4" s="35"/>
      <c r="K4" s="35"/>
      <c r="L4" s="35"/>
    </row>
    <row r="5" spans="2:14">
      <c r="B5" s="35"/>
      <c r="C5" s="35"/>
      <c r="D5" s="35"/>
      <c r="E5" s="35"/>
      <c r="F5" s="35"/>
      <c r="G5" s="35"/>
      <c r="H5" s="36"/>
      <c r="I5" s="35"/>
      <c r="J5" s="35"/>
      <c r="K5" s="35"/>
      <c r="L5" s="35"/>
    </row>
    <row r="6" ht="36" spans="2:14">
      <c r="B6" s="15" t="s">
        <v>1</v>
      </c>
      <c r="C6" s="15" t="s">
        <v>2</v>
      </c>
      <c r="D6" s="15" t="s">
        <v>3</v>
      </c>
      <c r="E6" s="15" t="s">
        <v>4</v>
      </c>
      <c r="F6" s="15" t="s">
        <v>5</v>
      </c>
      <c r="G6" s="15" t="s">
        <v>6</v>
      </c>
      <c r="H6" s="15" t="s">
        <v>7</v>
      </c>
      <c r="I6" s="15" t="s">
        <v>8</v>
      </c>
      <c r="J6" s="15" t="s">
        <v>9</v>
      </c>
      <c r="K6" s="15" t="s">
        <v>10</v>
      </c>
      <c r="L6" s="15" t="s">
        <v>11</v>
      </c>
      <c r="M6" s="15" t="s">
        <v>12</v>
      </c>
      <c r="N6" s="15" t="s">
        <v>13</v>
      </c>
    </row>
    <row r="7" ht="69" spans="2:14">
      <c r="B7" s="37" t="s">
        <v>14</v>
      </c>
      <c r="C7" s="14" t="s">
        <v>15</v>
      </c>
      <c r="D7" s="16" t="s">
        <v>16</v>
      </c>
      <c r="E7" s="16" t="s">
        <v>17</v>
      </c>
      <c r="F7" s="17" t="s">
        <v>18</v>
      </c>
      <c r="G7" s="16">
        <v>3</v>
      </c>
      <c r="H7" s="16" t="s">
        <v>19</v>
      </c>
      <c r="I7" s="16" t="s">
        <v>20</v>
      </c>
      <c r="J7" s="16" t="s">
        <v>21</v>
      </c>
      <c r="K7" s="16" t="s">
        <v>22</v>
      </c>
      <c r="L7" s="16" t="s">
        <v>23</v>
      </c>
      <c r="M7" s="16" t="s">
        <v>24</v>
      </c>
      <c r="N7" s="16" t="s">
        <v>25</v>
      </c>
    </row>
    <row r="8" ht="34.5" spans="2:14">
      <c r="B8" s="38"/>
      <c r="C8" s="14"/>
      <c r="D8" s="16"/>
      <c r="E8" s="16" t="s">
        <v>26</v>
      </c>
      <c r="F8" s="17" t="s">
        <v>27</v>
      </c>
      <c r="G8" s="16">
        <v>2</v>
      </c>
      <c r="H8" s="16" t="s">
        <v>19</v>
      </c>
      <c r="I8" s="16" t="s">
        <v>20</v>
      </c>
      <c r="J8" s="16" t="s">
        <v>21</v>
      </c>
      <c r="K8" s="16" t="s">
        <v>28</v>
      </c>
      <c r="L8" s="16" t="s">
        <v>23</v>
      </c>
      <c r="M8" s="16" t="s">
        <v>24</v>
      </c>
      <c r="N8" s="16" t="s">
        <v>29</v>
      </c>
    </row>
    <row r="9" customFormat="1" ht="86.25" spans="2:14">
      <c r="B9" s="38"/>
      <c r="C9" s="14" t="s">
        <v>30</v>
      </c>
      <c r="D9" s="16" t="s">
        <v>31</v>
      </c>
      <c r="E9" s="16" t="s">
        <v>32</v>
      </c>
      <c r="F9" s="17" t="s">
        <v>33</v>
      </c>
      <c r="G9" s="16">
        <v>3</v>
      </c>
      <c r="H9" s="16" t="s">
        <v>19</v>
      </c>
      <c r="I9" s="16" t="s">
        <v>34</v>
      </c>
      <c r="J9" s="16" t="s">
        <v>35</v>
      </c>
      <c r="K9" s="16" t="s">
        <v>36</v>
      </c>
      <c r="L9" s="16" t="s">
        <v>23</v>
      </c>
      <c r="M9" s="16" t="s">
        <v>24</v>
      </c>
      <c r="N9" s="16" t="s">
        <v>29</v>
      </c>
    </row>
    <row r="10" s="31" customFormat="1" ht="34.5" spans="2:14">
      <c r="B10" s="38"/>
      <c r="C10" s="14"/>
      <c r="D10" s="16"/>
      <c r="E10" s="16" t="s">
        <v>37</v>
      </c>
      <c r="F10" s="18" t="s">
        <v>38</v>
      </c>
      <c r="G10" s="19">
        <v>2</v>
      </c>
      <c r="H10" s="16" t="s">
        <v>19</v>
      </c>
      <c r="I10" s="19" t="s">
        <v>39</v>
      </c>
      <c r="J10" s="19" t="s">
        <v>21</v>
      </c>
      <c r="K10" s="19" t="s">
        <v>40</v>
      </c>
      <c r="L10" s="16" t="s">
        <v>23</v>
      </c>
      <c r="M10" s="16" t="s">
        <v>24</v>
      </c>
      <c r="N10" s="16" t="s">
        <v>29</v>
      </c>
    </row>
    <row r="11" ht="51.75" spans="2:14">
      <c r="B11" s="37" t="s">
        <v>41</v>
      </c>
      <c r="C11" s="27" t="s">
        <v>42</v>
      </c>
      <c r="D11" s="16" t="s">
        <v>43</v>
      </c>
      <c r="E11" s="16" t="s">
        <v>44</v>
      </c>
      <c r="F11" s="17" t="s">
        <v>45</v>
      </c>
      <c r="G11" s="16">
        <v>2</v>
      </c>
      <c r="H11" s="16" t="s">
        <v>46</v>
      </c>
      <c r="I11" s="16" t="s">
        <v>47</v>
      </c>
      <c r="J11" s="16" t="s">
        <v>48</v>
      </c>
      <c r="K11" s="16" t="s">
        <v>49</v>
      </c>
      <c r="L11" s="16" t="s">
        <v>23</v>
      </c>
      <c r="M11" s="16" t="s">
        <v>50</v>
      </c>
      <c r="N11" s="16" t="s">
        <v>51</v>
      </c>
    </row>
    <row r="12" ht="86.25" spans="2:14">
      <c r="B12" s="38"/>
      <c r="C12" s="27"/>
      <c r="D12" s="16"/>
      <c r="E12" s="16" t="s">
        <v>52</v>
      </c>
      <c r="F12" s="17" t="s">
        <v>53</v>
      </c>
      <c r="G12" s="16">
        <v>2</v>
      </c>
      <c r="H12" s="16" t="s">
        <v>46</v>
      </c>
      <c r="I12" s="16" t="s">
        <v>47</v>
      </c>
      <c r="J12" s="16" t="s">
        <v>48</v>
      </c>
      <c r="K12" s="16" t="s">
        <v>49</v>
      </c>
      <c r="L12" s="16" t="s">
        <v>23</v>
      </c>
      <c r="M12" s="16" t="s">
        <v>50</v>
      </c>
      <c r="N12" s="16" t="s">
        <v>51</v>
      </c>
    </row>
    <row r="13" ht="86.25" spans="2:14">
      <c r="B13" s="38"/>
      <c r="C13" s="27"/>
      <c r="D13" s="16"/>
      <c r="E13" s="16" t="s">
        <v>54</v>
      </c>
      <c r="F13" s="17" t="s">
        <v>55</v>
      </c>
      <c r="G13" s="16">
        <v>2</v>
      </c>
      <c r="H13" s="16" t="s">
        <v>46</v>
      </c>
      <c r="I13" s="16" t="s">
        <v>47</v>
      </c>
      <c r="J13" s="16" t="s">
        <v>48</v>
      </c>
      <c r="K13" s="16" t="s">
        <v>49</v>
      </c>
      <c r="L13" s="16" t="s">
        <v>23</v>
      </c>
      <c r="M13" s="16" t="s">
        <v>50</v>
      </c>
      <c r="N13" s="16" t="s">
        <v>51</v>
      </c>
    </row>
    <row r="14" ht="103.5" spans="2:14">
      <c r="B14" s="38"/>
      <c r="C14" s="27"/>
      <c r="D14" s="16"/>
      <c r="E14" s="16" t="s">
        <v>56</v>
      </c>
      <c r="F14" s="17" t="s">
        <v>57</v>
      </c>
      <c r="G14" s="16">
        <v>1</v>
      </c>
      <c r="H14" s="16" t="s">
        <v>46</v>
      </c>
      <c r="I14" s="16" t="s">
        <v>58</v>
      </c>
      <c r="J14" s="16" t="s">
        <v>48</v>
      </c>
      <c r="K14" s="16" t="s">
        <v>49</v>
      </c>
      <c r="L14" s="16" t="s">
        <v>23</v>
      </c>
      <c r="M14" s="16" t="s">
        <v>50</v>
      </c>
      <c r="N14" s="16" t="s">
        <v>51</v>
      </c>
    </row>
    <row r="15" ht="172.5" spans="2:14">
      <c r="B15" s="38"/>
      <c r="C15" s="27"/>
      <c r="D15" s="16"/>
      <c r="E15" s="16" t="s">
        <v>59</v>
      </c>
      <c r="F15" s="17" t="s">
        <v>60</v>
      </c>
      <c r="G15" s="16">
        <v>2</v>
      </c>
      <c r="H15" s="16" t="s">
        <v>46</v>
      </c>
      <c r="I15" s="16" t="s">
        <v>58</v>
      </c>
      <c r="J15" s="16" t="s">
        <v>48</v>
      </c>
      <c r="K15" s="16" t="s">
        <v>49</v>
      </c>
      <c r="L15" s="16" t="s">
        <v>23</v>
      </c>
      <c r="M15" s="16" t="s">
        <v>50</v>
      </c>
      <c r="N15" s="16" t="s">
        <v>51</v>
      </c>
    </row>
    <row r="16" ht="34.5" spans="2:14">
      <c r="B16" s="38"/>
      <c r="C16" s="27"/>
      <c r="D16" s="16"/>
      <c r="E16" s="16" t="s">
        <v>61</v>
      </c>
      <c r="F16" s="17" t="s">
        <v>62</v>
      </c>
      <c r="G16" s="16">
        <v>4</v>
      </c>
      <c r="H16" s="16" t="s">
        <v>63</v>
      </c>
      <c r="I16" s="16" t="s">
        <v>64</v>
      </c>
      <c r="J16" s="16" t="s">
        <v>65</v>
      </c>
      <c r="K16" s="16" t="s">
        <v>66</v>
      </c>
      <c r="L16" s="16" t="s">
        <v>23</v>
      </c>
      <c r="M16" s="16" t="s">
        <v>50</v>
      </c>
      <c r="N16" s="16" t="s">
        <v>51</v>
      </c>
    </row>
    <row r="17" ht="34.5" spans="2:14">
      <c r="B17" s="38"/>
      <c r="C17" s="23" t="s">
        <v>67</v>
      </c>
      <c r="D17" s="24" t="s">
        <v>68</v>
      </c>
      <c r="E17" s="16" t="s">
        <v>69</v>
      </c>
      <c r="F17" s="17" t="s">
        <v>70</v>
      </c>
      <c r="G17" s="16">
        <v>2</v>
      </c>
      <c r="H17" s="16" t="s">
        <v>71</v>
      </c>
      <c r="I17" s="16" t="s">
        <v>72</v>
      </c>
      <c r="J17" s="16" t="s">
        <v>73</v>
      </c>
      <c r="K17" s="16" t="s">
        <v>74</v>
      </c>
      <c r="L17" s="16" t="s">
        <v>23</v>
      </c>
      <c r="M17" s="16" t="s">
        <v>75</v>
      </c>
      <c r="N17" s="16" t="s">
        <v>76</v>
      </c>
    </row>
    <row r="18" ht="34.5" spans="2:14">
      <c r="B18" s="38"/>
      <c r="C18" s="27"/>
      <c r="D18" s="28"/>
      <c r="E18" s="16" t="s">
        <v>77</v>
      </c>
      <c r="F18" s="17" t="s">
        <v>78</v>
      </c>
      <c r="G18" s="16">
        <v>2</v>
      </c>
      <c r="H18" s="16" t="s">
        <v>71</v>
      </c>
      <c r="I18" s="16" t="s">
        <v>79</v>
      </c>
      <c r="J18" s="16" t="s">
        <v>80</v>
      </c>
      <c r="K18" s="16" t="s">
        <v>49</v>
      </c>
      <c r="L18" s="16" t="s">
        <v>23</v>
      </c>
      <c r="M18" s="16" t="s">
        <v>75</v>
      </c>
      <c r="N18" s="16" t="s">
        <v>76</v>
      </c>
    </row>
    <row r="19" ht="34.5" spans="2:14">
      <c r="B19" s="38"/>
      <c r="C19" s="25"/>
      <c r="D19" s="26"/>
      <c r="E19" s="16" t="s">
        <v>81</v>
      </c>
      <c r="F19" s="17" t="s">
        <v>82</v>
      </c>
      <c r="G19" s="16">
        <v>1</v>
      </c>
      <c r="H19" s="16" t="s">
        <v>71</v>
      </c>
      <c r="I19" s="16" t="s">
        <v>79</v>
      </c>
      <c r="J19" s="16" t="s">
        <v>80</v>
      </c>
      <c r="K19" s="16" t="s">
        <v>49</v>
      </c>
      <c r="L19" s="16" t="s">
        <v>23</v>
      </c>
      <c r="M19" s="16" t="s">
        <v>75</v>
      </c>
      <c r="N19" s="16" t="s">
        <v>76</v>
      </c>
    </row>
    <row r="20" ht="51.75" spans="2:14">
      <c r="B20" s="38"/>
      <c r="C20" s="23" t="s">
        <v>83</v>
      </c>
      <c r="D20" s="24" t="s">
        <v>84</v>
      </c>
      <c r="E20" s="16" t="s">
        <v>85</v>
      </c>
      <c r="F20" s="17" t="s">
        <v>86</v>
      </c>
      <c r="G20" s="16">
        <v>2</v>
      </c>
      <c r="H20" s="16" t="s">
        <v>87</v>
      </c>
      <c r="I20" s="16" t="s">
        <v>88</v>
      </c>
      <c r="J20" s="16" t="s">
        <v>89</v>
      </c>
      <c r="K20" s="16" t="s">
        <v>90</v>
      </c>
      <c r="L20" s="16" t="s">
        <v>23</v>
      </c>
      <c r="M20" s="16" t="s">
        <v>91</v>
      </c>
      <c r="N20" s="16" t="s">
        <v>92</v>
      </c>
    </row>
    <row r="21" ht="92" customHeight="1" spans="2:14">
      <c r="B21" s="38"/>
      <c r="C21" s="27"/>
      <c r="D21" s="28"/>
      <c r="E21" s="16" t="s">
        <v>93</v>
      </c>
      <c r="F21" s="17" t="s">
        <v>94</v>
      </c>
      <c r="G21" s="16">
        <v>3</v>
      </c>
      <c r="H21" s="16" t="s">
        <v>87</v>
      </c>
      <c r="I21" s="16" t="s">
        <v>95</v>
      </c>
      <c r="J21" s="16" t="s">
        <v>96</v>
      </c>
      <c r="K21" s="16" t="s">
        <v>97</v>
      </c>
      <c r="L21" s="16" t="s">
        <v>23</v>
      </c>
      <c r="M21" s="16" t="s">
        <v>91</v>
      </c>
      <c r="N21" s="16" t="s">
        <v>92</v>
      </c>
    </row>
    <row r="22" ht="49" customHeight="1" spans="2:14">
      <c r="B22" s="38"/>
      <c r="C22" s="27"/>
      <c r="D22" s="28"/>
      <c r="E22" s="16" t="s">
        <v>98</v>
      </c>
      <c r="F22" s="17" t="s">
        <v>99</v>
      </c>
      <c r="G22" s="16">
        <v>2.5</v>
      </c>
      <c r="H22" s="16" t="s">
        <v>100</v>
      </c>
      <c r="I22" s="16" t="s">
        <v>101</v>
      </c>
      <c r="J22" s="16" t="s">
        <v>21</v>
      </c>
      <c r="K22" s="16" t="s">
        <v>102</v>
      </c>
      <c r="L22" s="16" t="s">
        <v>23</v>
      </c>
      <c r="M22" s="16" t="s">
        <v>103</v>
      </c>
      <c r="N22" s="16" t="s">
        <v>104</v>
      </c>
    </row>
    <row r="23" ht="47" customHeight="1" spans="2:14">
      <c r="B23" s="38"/>
      <c r="C23" s="27"/>
      <c r="D23" s="28"/>
      <c r="E23" s="16" t="s">
        <v>105</v>
      </c>
      <c r="F23" s="17" t="s">
        <v>106</v>
      </c>
      <c r="G23" s="16">
        <v>2.5</v>
      </c>
      <c r="H23" s="16" t="s">
        <v>100</v>
      </c>
      <c r="I23" s="16" t="s">
        <v>107</v>
      </c>
      <c r="J23" s="16" t="s">
        <v>108</v>
      </c>
      <c r="K23" s="16" t="s">
        <v>66</v>
      </c>
      <c r="L23" s="16" t="s">
        <v>23</v>
      </c>
      <c r="M23" s="16" t="s">
        <v>103</v>
      </c>
      <c r="N23" s="16" t="s">
        <v>104</v>
      </c>
    </row>
    <row r="24" s="32" customFormat="1" ht="103.5" spans="2:14">
      <c r="B24" s="38"/>
      <c r="C24" s="27"/>
      <c r="D24" s="28"/>
      <c r="E24" s="16" t="s">
        <v>109</v>
      </c>
      <c r="F24" s="17" t="s">
        <v>110</v>
      </c>
      <c r="G24" s="16">
        <v>2</v>
      </c>
      <c r="H24" s="16" t="s">
        <v>111</v>
      </c>
      <c r="I24" s="16" t="s">
        <v>112</v>
      </c>
      <c r="J24" s="16" t="s">
        <v>113</v>
      </c>
      <c r="K24" s="16" t="s">
        <v>114</v>
      </c>
      <c r="L24" s="16" t="s">
        <v>23</v>
      </c>
      <c r="M24" s="16" t="s">
        <v>91</v>
      </c>
      <c r="N24" s="16" t="s">
        <v>115</v>
      </c>
    </row>
    <row r="25" s="32" customFormat="1" ht="103.5" spans="2:14">
      <c r="B25" s="38"/>
      <c r="C25" s="27"/>
      <c r="D25" s="28"/>
      <c r="E25" s="16" t="s">
        <v>116</v>
      </c>
      <c r="F25" s="17" t="s">
        <v>117</v>
      </c>
      <c r="G25" s="16">
        <v>1</v>
      </c>
      <c r="H25" s="16" t="s">
        <v>111</v>
      </c>
      <c r="I25" s="16" t="s">
        <v>112</v>
      </c>
      <c r="J25" s="16" t="s">
        <v>113</v>
      </c>
      <c r="K25" s="16" t="s">
        <v>118</v>
      </c>
      <c r="L25" s="16" t="s">
        <v>23</v>
      </c>
      <c r="M25" s="16" t="s">
        <v>91</v>
      </c>
      <c r="N25" s="16" t="s">
        <v>115</v>
      </c>
    </row>
    <row r="26" s="32" customFormat="1" ht="120.75" spans="2:14">
      <c r="B26" s="38"/>
      <c r="C26" s="27"/>
      <c r="D26" s="28"/>
      <c r="E26" s="16" t="s">
        <v>119</v>
      </c>
      <c r="F26" s="17" t="s">
        <v>120</v>
      </c>
      <c r="G26" s="16">
        <v>2</v>
      </c>
      <c r="H26" s="16" t="s">
        <v>111</v>
      </c>
      <c r="I26" s="16" t="s">
        <v>112</v>
      </c>
      <c r="J26" s="16" t="s">
        <v>113</v>
      </c>
      <c r="K26" s="16" t="s">
        <v>121</v>
      </c>
      <c r="L26" s="16" t="s">
        <v>23</v>
      </c>
      <c r="M26" s="16" t="s">
        <v>91</v>
      </c>
      <c r="N26" s="16" t="s">
        <v>115</v>
      </c>
    </row>
    <row r="27" s="32" customFormat="1" ht="88.5" spans="2:14">
      <c r="B27" s="38"/>
      <c r="C27" s="25"/>
      <c r="D27" s="26"/>
      <c r="E27" s="16" t="s">
        <v>122</v>
      </c>
      <c r="F27" s="22" t="s">
        <v>123</v>
      </c>
      <c r="G27" s="16">
        <v>2</v>
      </c>
      <c r="H27" s="16" t="s">
        <v>46</v>
      </c>
      <c r="I27" s="16" t="s">
        <v>58</v>
      </c>
      <c r="J27" s="16" t="s">
        <v>124</v>
      </c>
      <c r="K27" s="16" t="s">
        <v>66</v>
      </c>
      <c r="L27" s="16" t="s">
        <v>23</v>
      </c>
      <c r="M27" s="16" t="s">
        <v>125</v>
      </c>
      <c r="N27" s="16" t="s">
        <v>126</v>
      </c>
    </row>
    <row r="28" ht="155.25" spans="2:14">
      <c r="B28" s="39"/>
      <c r="C28" s="20" t="s">
        <v>127</v>
      </c>
      <c r="D28" s="21" t="s">
        <v>128</v>
      </c>
      <c r="E28" s="16" t="s">
        <v>129</v>
      </c>
      <c r="F28" s="22" t="s">
        <v>130</v>
      </c>
      <c r="G28" s="16">
        <v>3</v>
      </c>
      <c r="H28" s="16" t="s">
        <v>46</v>
      </c>
      <c r="I28" s="16" t="s">
        <v>58</v>
      </c>
      <c r="J28" s="16" t="s">
        <v>131</v>
      </c>
      <c r="K28" s="16" t="s">
        <v>66</v>
      </c>
      <c r="L28" s="16" t="s">
        <v>23</v>
      </c>
      <c r="M28" s="16" t="s">
        <v>103</v>
      </c>
      <c r="N28" s="16" t="s">
        <v>132</v>
      </c>
    </row>
    <row r="29" ht="103.5" spans="2:14">
      <c r="B29" s="15" t="s">
        <v>133</v>
      </c>
      <c r="C29" s="14" t="s">
        <v>134</v>
      </c>
      <c r="D29" s="16" t="s">
        <v>135</v>
      </c>
      <c r="E29" s="16" t="s">
        <v>136</v>
      </c>
      <c r="F29" s="17" t="s">
        <v>137</v>
      </c>
      <c r="G29" s="16">
        <v>3</v>
      </c>
      <c r="H29" s="16" t="s">
        <v>46</v>
      </c>
      <c r="I29" s="16" t="s">
        <v>20</v>
      </c>
      <c r="J29" s="16" t="s">
        <v>138</v>
      </c>
      <c r="K29" s="16" t="s">
        <v>49</v>
      </c>
      <c r="L29" s="16" t="s">
        <v>23</v>
      </c>
      <c r="M29" s="16" t="s">
        <v>24</v>
      </c>
      <c r="N29" s="16" t="s">
        <v>25</v>
      </c>
    </row>
    <row r="30" ht="103.5" spans="2:14">
      <c r="B30" s="15"/>
      <c r="C30" s="14"/>
      <c r="D30" s="16"/>
      <c r="E30" s="16" t="s">
        <v>139</v>
      </c>
      <c r="F30" s="17" t="s">
        <v>140</v>
      </c>
      <c r="G30" s="16">
        <v>3</v>
      </c>
      <c r="H30" s="16" t="s">
        <v>46</v>
      </c>
      <c r="I30" s="16" t="s">
        <v>20</v>
      </c>
      <c r="J30" s="16" t="s">
        <v>138</v>
      </c>
      <c r="K30" s="16" t="s">
        <v>49</v>
      </c>
      <c r="L30" s="16" t="s">
        <v>23</v>
      </c>
      <c r="M30" s="16" t="s">
        <v>24</v>
      </c>
      <c r="N30" s="16" t="s">
        <v>25</v>
      </c>
    </row>
    <row r="31" ht="86.25" spans="2:14">
      <c r="B31" s="15"/>
      <c r="C31" s="14"/>
      <c r="D31" s="16"/>
      <c r="E31" s="16" t="s">
        <v>141</v>
      </c>
      <c r="F31" s="17" t="s">
        <v>142</v>
      </c>
      <c r="G31" s="16">
        <v>3</v>
      </c>
      <c r="H31" s="16" t="s">
        <v>46</v>
      </c>
      <c r="I31" s="16" t="s">
        <v>20</v>
      </c>
      <c r="J31" s="16" t="s">
        <v>138</v>
      </c>
      <c r="K31" s="16" t="s">
        <v>49</v>
      </c>
      <c r="L31" s="16" t="s">
        <v>23</v>
      </c>
      <c r="M31" s="16" t="s">
        <v>24</v>
      </c>
      <c r="N31" s="16" t="s">
        <v>25</v>
      </c>
    </row>
    <row r="32" ht="86.25" spans="2:14">
      <c r="B32" s="15"/>
      <c r="C32" s="14" t="s">
        <v>143</v>
      </c>
      <c r="D32" s="16" t="s">
        <v>144</v>
      </c>
      <c r="E32" s="16" t="s">
        <v>145</v>
      </c>
      <c r="F32" s="17" t="s">
        <v>146</v>
      </c>
      <c r="G32" s="16">
        <v>4</v>
      </c>
      <c r="H32" s="16" t="s">
        <v>46</v>
      </c>
      <c r="I32" s="16" t="s">
        <v>147</v>
      </c>
      <c r="J32" s="16" t="s">
        <v>148</v>
      </c>
      <c r="K32" s="16" t="s">
        <v>149</v>
      </c>
      <c r="L32" s="16" t="s">
        <v>23</v>
      </c>
      <c r="M32" s="16" t="s">
        <v>50</v>
      </c>
      <c r="N32" s="16" t="s">
        <v>150</v>
      </c>
    </row>
    <row r="33" ht="138" spans="2:14">
      <c r="B33" s="15"/>
      <c r="C33" s="14"/>
      <c r="D33" s="16"/>
      <c r="E33" s="16" t="s">
        <v>151</v>
      </c>
      <c r="F33" s="17" t="s">
        <v>152</v>
      </c>
      <c r="G33" s="16">
        <v>4</v>
      </c>
      <c r="H33" s="16" t="s">
        <v>46</v>
      </c>
      <c r="I33" s="16" t="s">
        <v>147</v>
      </c>
      <c r="J33" s="16" t="s">
        <v>153</v>
      </c>
      <c r="K33" s="16" t="s">
        <v>66</v>
      </c>
      <c r="L33" s="16" t="s">
        <v>23</v>
      </c>
      <c r="M33" s="16" t="s">
        <v>50</v>
      </c>
      <c r="N33" s="16" t="s">
        <v>150</v>
      </c>
    </row>
    <row r="34" ht="34.5" spans="2:14">
      <c r="B34" s="15"/>
      <c r="C34" s="14"/>
      <c r="D34" s="16"/>
      <c r="E34" s="16" t="s">
        <v>154</v>
      </c>
      <c r="F34" s="17" t="s">
        <v>155</v>
      </c>
      <c r="G34" s="16">
        <v>4</v>
      </c>
      <c r="H34" s="16" t="s">
        <v>46</v>
      </c>
      <c r="I34" s="16" t="s">
        <v>58</v>
      </c>
      <c r="J34" s="16" t="s">
        <v>153</v>
      </c>
      <c r="K34" s="16" t="s">
        <v>66</v>
      </c>
      <c r="L34" s="16" t="s">
        <v>23</v>
      </c>
      <c r="M34" s="16" t="s">
        <v>50</v>
      </c>
      <c r="N34" s="16" t="s">
        <v>150</v>
      </c>
    </row>
    <row r="35" ht="345" spans="2:14">
      <c r="B35" s="15"/>
      <c r="C35" s="14" t="s">
        <v>156</v>
      </c>
      <c r="D35" s="24" t="s">
        <v>157</v>
      </c>
      <c r="E35" s="16" t="s">
        <v>158</v>
      </c>
      <c r="F35" s="17" t="s">
        <v>159</v>
      </c>
      <c r="G35" s="16">
        <v>1.5</v>
      </c>
      <c r="H35" s="16" t="s">
        <v>46</v>
      </c>
      <c r="I35" s="16" t="s">
        <v>160</v>
      </c>
      <c r="J35" s="16" t="s">
        <v>161</v>
      </c>
      <c r="K35" s="16" t="s">
        <v>66</v>
      </c>
      <c r="L35" s="16" t="s">
        <v>23</v>
      </c>
      <c r="M35" s="16" t="s">
        <v>91</v>
      </c>
      <c r="N35" s="16" t="s">
        <v>162</v>
      </c>
    </row>
    <row r="36" ht="207" spans="2:14">
      <c r="B36" s="15"/>
      <c r="C36" s="14"/>
      <c r="D36" s="28"/>
      <c r="E36" s="16" t="s">
        <v>163</v>
      </c>
      <c r="F36" s="17" t="s">
        <v>164</v>
      </c>
      <c r="G36" s="16">
        <v>1.5</v>
      </c>
      <c r="H36" s="16" t="s">
        <v>46</v>
      </c>
      <c r="I36" s="16" t="s">
        <v>165</v>
      </c>
      <c r="J36" s="16" t="s">
        <v>161</v>
      </c>
      <c r="K36" s="16" t="s">
        <v>66</v>
      </c>
      <c r="L36" s="16" t="s">
        <v>23</v>
      </c>
      <c r="M36" s="16" t="s">
        <v>91</v>
      </c>
      <c r="N36" s="16" t="s">
        <v>162</v>
      </c>
    </row>
    <row r="37" ht="51.75" spans="2:14">
      <c r="B37" s="15"/>
      <c r="C37" s="14"/>
      <c r="D37" s="28"/>
      <c r="E37" s="16" t="s">
        <v>166</v>
      </c>
      <c r="F37" s="17" t="s">
        <v>167</v>
      </c>
      <c r="G37" s="16">
        <v>1</v>
      </c>
      <c r="H37" s="16" t="s">
        <v>46</v>
      </c>
      <c r="I37" s="16" t="s">
        <v>168</v>
      </c>
      <c r="J37" s="16" t="s">
        <v>169</v>
      </c>
      <c r="K37" s="16" t="s">
        <v>170</v>
      </c>
      <c r="L37" s="16" t="s">
        <v>23</v>
      </c>
      <c r="M37" s="16" t="s">
        <v>91</v>
      </c>
      <c r="N37" s="16" t="s">
        <v>162</v>
      </c>
    </row>
    <row r="38" ht="34.5" spans="2:14">
      <c r="B38" s="15"/>
      <c r="C38" s="14" t="s">
        <v>171</v>
      </c>
      <c r="D38" s="16" t="s">
        <v>172</v>
      </c>
      <c r="E38" s="16" t="s">
        <v>173</v>
      </c>
      <c r="F38" s="17" t="s">
        <v>174</v>
      </c>
      <c r="G38" s="16">
        <v>2</v>
      </c>
      <c r="H38" s="16" t="s">
        <v>46</v>
      </c>
      <c r="I38" s="16" t="s">
        <v>175</v>
      </c>
      <c r="J38" s="16" t="s">
        <v>176</v>
      </c>
      <c r="K38" s="16" t="s">
        <v>177</v>
      </c>
      <c r="L38" s="16" t="s">
        <v>23</v>
      </c>
      <c r="M38" s="16" t="s">
        <v>50</v>
      </c>
      <c r="N38" s="16" t="s">
        <v>178</v>
      </c>
    </row>
    <row r="39" ht="34.5" spans="2:14">
      <c r="B39" s="15"/>
      <c r="C39" s="14"/>
      <c r="D39" s="16"/>
      <c r="E39" s="16" t="s">
        <v>179</v>
      </c>
      <c r="F39" s="17" t="s">
        <v>180</v>
      </c>
      <c r="G39" s="16">
        <v>2</v>
      </c>
      <c r="H39" s="16" t="s">
        <v>46</v>
      </c>
      <c r="I39" s="16" t="s">
        <v>175</v>
      </c>
      <c r="J39" s="16" t="s">
        <v>181</v>
      </c>
      <c r="K39" s="16" t="s">
        <v>177</v>
      </c>
      <c r="L39" s="16" t="s">
        <v>23</v>
      </c>
      <c r="M39" s="16" t="s">
        <v>50</v>
      </c>
      <c r="N39" s="16" t="s">
        <v>178</v>
      </c>
    </row>
    <row r="40" ht="206" customHeight="1" spans="2:14">
      <c r="B40" s="37" t="s">
        <v>182</v>
      </c>
      <c r="C40" s="23" t="s">
        <v>183</v>
      </c>
      <c r="D40" s="24" t="s">
        <v>184</v>
      </c>
      <c r="E40" s="19" t="s">
        <v>185</v>
      </c>
      <c r="F40" s="18" t="s">
        <v>186</v>
      </c>
      <c r="G40" s="19">
        <v>1</v>
      </c>
      <c r="H40" s="19" t="s">
        <v>46</v>
      </c>
      <c r="I40" s="19" t="s">
        <v>187</v>
      </c>
      <c r="J40" s="19" t="s">
        <v>153</v>
      </c>
      <c r="K40" s="19" t="s">
        <v>49</v>
      </c>
      <c r="L40" s="19" t="s">
        <v>23</v>
      </c>
      <c r="M40" s="16" t="s">
        <v>91</v>
      </c>
      <c r="N40" s="16" t="s">
        <v>162</v>
      </c>
    </row>
    <row r="41" ht="207" spans="2:14">
      <c r="B41" s="38"/>
      <c r="C41" s="27"/>
      <c r="D41" s="28"/>
      <c r="E41" s="16" t="s">
        <v>188</v>
      </c>
      <c r="F41" s="17" t="s">
        <v>189</v>
      </c>
      <c r="G41" s="16">
        <v>1</v>
      </c>
      <c r="H41" s="16" t="s">
        <v>46</v>
      </c>
      <c r="I41" s="16" t="s">
        <v>190</v>
      </c>
      <c r="J41" s="16" t="s">
        <v>191</v>
      </c>
      <c r="K41" s="16" t="s">
        <v>192</v>
      </c>
      <c r="L41" s="16" t="s">
        <v>23</v>
      </c>
      <c r="M41" s="16" t="s">
        <v>91</v>
      </c>
      <c r="N41" s="16" t="s">
        <v>162</v>
      </c>
    </row>
    <row r="42" ht="155.25" spans="2:14">
      <c r="B42" s="38"/>
      <c r="C42" s="27"/>
      <c r="D42" s="28"/>
      <c r="E42" s="16" t="s">
        <v>193</v>
      </c>
      <c r="F42" s="17" t="s">
        <v>194</v>
      </c>
      <c r="G42" s="16">
        <v>1</v>
      </c>
      <c r="H42" s="16" t="s">
        <v>46</v>
      </c>
      <c r="I42" s="16" t="s">
        <v>195</v>
      </c>
      <c r="J42" s="16" t="s">
        <v>196</v>
      </c>
      <c r="K42" s="16" t="s">
        <v>197</v>
      </c>
      <c r="L42" s="16" t="s">
        <v>23</v>
      </c>
      <c r="M42" s="16" t="s">
        <v>91</v>
      </c>
      <c r="N42" s="16" t="s">
        <v>162</v>
      </c>
    </row>
    <row r="43" ht="224.25" spans="2:14">
      <c r="B43" s="38"/>
      <c r="C43" s="27"/>
      <c r="D43" s="28"/>
      <c r="E43" s="19" t="s">
        <v>198</v>
      </c>
      <c r="F43" s="18" t="s">
        <v>199</v>
      </c>
      <c r="G43" s="19">
        <v>1.5</v>
      </c>
      <c r="H43" s="16" t="s">
        <v>46</v>
      </c>
      <c r="I43" s="19" t="s">
        <v>200</v>
      </c>
      <c r="J43" s="19" t="s">
        <v>201</v>
      </c>
      <c r="K43" s="19" t="s">
        <v>202</v>
      </c>
      <c r="L43" s="19" t="s">
        <v>23</v>
      </c>
      <c r="M43" s="16" t="s">
        <v>91</v>
      </c>
      <c r="N43" s="16" t="s">
        <v>162</v>
      </c>
    </row>
    <row r="44" ht="345" spans="2:14">
      <c r="B44" s="38"/>
      <c r="C44" s="25"/>
      <c r="D44" s="26"/>
      <c r="E44" s="16" t="s">
        <v>203</v>
      </c>
      <c r="F44" s="17" t="s">
        <v>204</v>
      </c>
      <c r="G44" s="16">
        <v>1.5</v>
      </c>
      <c r="H44" s="16" t="s">
        <v>46</v>
      </c>
      <c r="I44" s="16" t="s">
        <v>205</v>
      </c>
      <c r="J44" s="16" t="s">
        <v>21</v>
      </c>
      <c r="K44" s="16" t="s">
        <v>206</v>
      </c>
      <c r="L44" s="16" t="s">
        <v>23</v>
      </c>
      <c r="M44" s="16" t="s">
        <v>91</v>
      </c>
      <c r="N44" s="16" t="s">
        <v>162</v>
      </c>
    </row>
    <row r="45" ht="86.25" spans="2:14">
      <c r="B45" s="38"/>
      <c r="C45" s="23" t="s">
        <v>207</v>
      </c>
      <c r="D45" s="24" t="s">
        <v>208</v>
      </c>
      <c r="E45" s="16" t="s">
        <v>209</v>
      </c>
      <c r="F45" s="17" t="s">
        <v>210</v>
      </c>
      <c r="G45" s="16">
        <v>2</v>
      </c>
      <c r="H45" s="16" t="s">
        <v>46</v>
      </c>
      <c r="I45" s="16" t="s">
        <v>211</v>
      </c>
      <c r="J45" s="16" t="s">
        <v>21</v>
      </c>
      <c r="K45" s="16" t="s">
        <v>212</v>
      </c>
      <c r="L45" s="16" t="s">
        <v>23</v>
      </c>
      <c r="M45" s="16" t="s">
        <v>24</v>
      </c>
      <c r="N45" s="16" t="s">
        <v>29</v>
      </c>
    </row>
    <row r="46" ht="51.75" spans="2:14">
      <c r="B46" s="39"/>
      <c r="C46" s="25"/>
      <c r="D46" s="26"/>
      <c r="E46" s="16" t="s">
        <v>213</v>
      </c>
      <c r="F46" s="17" t="s">
        <v>214</v>
      </c>
      <c r="G46" s="16">
        <v>2</v>
      </c>
      <c r="H46" s="16" t="s">
        <v>46</v>
      </c>
      <c r="I46" s="16" t="s">
        <v>211</v>
      </c>
      <c r="J46" s="16" t="s">
        <v>21</v>
      </c>
      <c r="K46" s="16" t="s">
        <v>215</v>
      </c>
      <c r="L46" s="16" t="s">
        <v>23</v>
      </c>
      <c r="M46" s="16" t="s">
        <v>24</v>
      </c>
      <c r="N46" s="16" t="s">
        <v>29</v>
      </c>
    </row>
    <row r="47" ht="120.75" spans="2:14">
      <c r="B47" s="15" t="s">
        <v>216</v>
      </c>
      <c r="C47" s="14" t="s">
        <v>217</v>
      </c>
      <c r="D47" s="16" t="s">
        <v>218</v>
      </c>
      <c r="E47" s="16" t="s">
        <v>219</v>
      </c>
      <c r="F47" s="17" t="s">
        <v>220</v>
      </c>
      <c r="G47" s="16">
        <v>2</v>
      </c>
      <c r="H47" s="16" t="s">
        <v>46</v>
      </c>
      <c r="I47" s="16" t="s">
        <v>221</v>
      </c>
      <c r="J47" s="16" t="s">
        <v>222</v>
      </c>
      <c r="K47" s="16" t="s">
        <v>223</v>
      </c>
      <c r="L47" s="16" t="s">
        <v>23</v>
      </c>
      <c r="M47" s="16" t="s">
        <v>224</v>
      </c>
      <c r="N47" s="16" t="s">
        <v>225</v>
      </c>
    </row>
    <row r="48" ht="51.75" spans="2:14">
      <c r="B48" s="15"/>
      <c r="C48" s="14"/>
      <c r="D48" s="16"/>
      <c r="E48" s="16" t="s">
        <v>226</v>
      </c>
      <c r="F48" s="17" t="s">
        <v>227</v>
      </c>
      <c r="G48" s="16">
        <v>3</v>
      </c>
      <c r="H48" s="16" t="s">
        <v>46</v>
      </c>
      <c r="I48" s="16" t="s">
        <v>221</v>
      </c>
      <c r="J48" s="16" t="s">
        <v>222</v>
      </c>
      <c r="K48" s="16" t="s">
        <v>223</v>
      </c>
      <c r="L48" s="16" t="s">
        <v>23</v>
      </c>
      <c r="M48" s="16" t="s">
        <v>224</v>
      </c>
      <c r="N48" s="16" t="s">
        <v>225</v>
      </c>
    </row>
    <row r="49" ht="51.75" spans="2:14">
      <c r="B49" s="15"/>
      <c r="C49" s="14"/>
      <c r="D49" s="16"/>
      <c r="E49" s="16" t="s">
        <v>228</v>
      </c>
      <c r="F49" s="17" t="s">
        <v>229</v>
      </c>
      <c r="G49" s="16">
        <v>3</v>
      </c>
      <c r="H49" s="16" t="s">
        <v>46</v>
      </c>
      <c r="I49" s="16" t="s">
        <v>221</v>
      </c>
      <c r="J49" s="16" t="s">
        <v>222</v>
      </c>
      <c r="K49" s="16" t="s">
        <v>223</v>
      </c>
      <c r="L49" s="16" t="s">
        <v>23</v>
      </c>
      <c r="M49" s="16" t="s">
        <v>224</v>
      </c>
      <c r="N49" s="16" t="s">
        <v>225</v>
      </c>
    </row>
    <row r="50" ht="51.75" spans="2:14">
      <c r="B50" s="15"/>
      <c r="C50" s="14" t="s">
        <v>230</v>
      </c>
      <c r="D50" s="16" t="s">
        <v>231</v>
      </c>
      <c r="E50" s="16" t="s">
        <v>232</v>
      </c>
      <c r="F50" s="17" t="s">
        <v>233</v>
      </c>
      <c r="G50" s="16">
        <v>3</v>
      </c>
      <c r="H50" s="16" t="s">
        <v>19</v>
      </c>
      <c r="I50" s="16" t="s">
        <v>20</v>
      </c>
      <c r="J50" s="16" t="s">
        <v>21</v>
      </c>
      <c r="K50" s="16" t="s">
        <v>234</v>
      </c>
      <c r="L50" s="16" t="s">
        <v>23</v>
      </c>
      <c r="M50" s="16" t="s">
        <v>24</v>
      </c>
      <c r="N50" s="16" t="s">
        <v>29</v>
      </c>
    </row>
    <row r="51" ht="51.75" spans="2:14">
      <c r="B51" s="15"/>
      <c r="C51" s="14"/>
      <c r="D51" s="16"/>
      <c r="E51" s="16" t="s">
        <v>235</v>
      </c>
      <c r="F51" s="17" t="s">
        <v>236</v>
      </c>
      <c r="G51" s="16">
        <v>2</v>
      </c>
      <c r="H51" s="16" t="s">
        <v>19</v>
      </c>
      <c r="I51" s="16" t="s">
        <v>20</v>
      </c>
      <c r="J51" s="16" t="s">
        <v>21</v>
      </c>
      <c r="K51" s="16" t="s">
        <v>234</v>
      </c>
      <c r="L51" s="16" t="s">
        <v>23</v>
      </c>
      <c r="M51" s="16" t="s">
        <v>24</v>
      </c>
      <c r="N51" s="16" t="s">
        <v>29</v>
      </c>
    </row>
    <row r="52" ht="20.25" spans="2:14">
      <c r="B52" s="40"/>
      <c r="C52" s="40"/>
      <c r="D52" s="40"/>
      <c r="E52" s="40"/>
      <c r="F52" s="41"/>
      <c r="G52" s="40"/>
      <c r="H52" s="41"/>
      <c r="I52" s="40"/>
      <c r="J52" s="40"/>
      <c r="K52" s="40"/>
      <c r="L52" s="40"/>
      <c r="M52" s="16"/>
      <c r="N52" s="16"/>
    </row>
    <row r="55" spans="2:14">
      <c r="F55" s="33"/>
    </row>
    <row r="56" ht="364.95" customHeight="1"/>
  </sheetData>
  <autoFilter xmlns:etc="http://www.wps.cn/officeDocument/2017/etCustomData" ref="B6:L52" etc:filterBottomFollowUsedRange="0">
    <extLst/>
  </autoFilter>
  <mergeCells count="32">
    <mergeCell ref="B7:B10"/>
    <mergeCell ref="B11:B28"/>
    <mergeCell ref="B29:B39"/>
    <mergeCell ref="B40:B46"/>
    <mergeCell ref="B47:B51"/>
    <mergeCell ref="C7:C8"/>
    <mergeCell ref="C9:C10"/>
    <mergeCell ref="C11:C16"/>
    <mergeCell ref="C17:C19"/>
    <mergeCell ref="C20:C27"/>
    <mergeCell ref="C29:C31"/>
    <mergeCell ref="C32:C34"/>
    <mergeCell ref="C35:C37"/>
    <mergeCell ref="C38:C39"/>
    <mergeCell ref="C40:C44"/>
    <mergeCell ref="C45:C46"/>
    <mergeCell ref="C47:C49"/>
    <mergeCell ref="C50:C51"/>
    <mergeCell ref="D7:D8"/>
    <mergeCell ref="D9:D10"/>
    <mergeCell ref="D11:D16"/>
    <mergeCell ref="D17:D19"/>
    <mergeCell ref="D20:D27"/>
    <mergeCell ref="D29:D31"/>
    <mergeCell ref="D32:D34"/>
    <mergeCell ref="D35:D37"/>
    <mergeCell ref="D38:D39"/>
    <mergeCell ref="D40:D44"/>
    <mergeCell ref="D45:D46"/>
    <mergeCell ref="D47:D49"/>
    <mergeCell ref="D50:D51"/>
    <mergeCell ref="B2:L5"/>
  </mergeCells>
  <pageMargins left="0.75" right="0.75" top="1" bottom="1" header="0.5" footer="0.5"/>
  <pageSetup paperSize="8" scale="54"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zoomScale="40" zoomScaleNormal="40" workbookViewId="0">
      <pane ySplit="2" topLeftCell="A16" activePane="bottomLeft" state="frozen"/>
      <selection/>
      <selection pane="bottomLeft" activeCell="N9" sqref="N9"/>
    </sheetView>
  </sheetViews>
  <sheetFormatPr defaultColWidth="8.89166666666667" defaultRowHeight="13.5"/>
  <cols>
    <col min="1" max="1" width="14.5583333333333" customWidth="1"/>
    <col min="2" max="2" width="14.1083333333333" customWidth="1"/>
    <col min="3" max="3" width="20.4416666666667" customWidth="1"/>
    <col min="4" max="4" width="14.1083333333333" customWidth="1"/>
    <col min="5" max="5" width="58" customWidth="1"/>
    <col min="6" max="6" width="6.33333333333333" customWidth="1"/>
    <col min="7" max="7" width="14.1083333333333" customWidth="1"/>
    <col min="8" max="8" width="28.2583333333333" customWidth="1"/>
    <col min="9" max="9" width="27.3333333333333" customWidth="1"/>
    <col min="10" max="10" width="24.4416666666667" customWidth="1"/>
    <col min="11" max="11" width="30" customWidth="1"/>
  </cols>
  <sheetData>
    <row r="1" ht="18" spans="1:11">
      <c r="A1" s="14" t="s">
        <v>237</v>
      </c>
      <c r="B1" s="14"/>
      <c r="C1" s="14"/>
      <c r="D1" s="14"/>
      <c r="E1" s="14"/>
      <c r="F1" s="14"/>
      <c r="G1" s="14"/>
      <c r="H1" s="14"/>
      <c r="I1" s="14"/>
      <c r="J1" s="14"/>
      <c r="K1" s="14"/>
    </row>
    <row r="2" ht="36" spans="1:11">
      <c r="A2" s="15" t="s">
        <v>1</v>
      </c>
      <c r="B2" s="15" t="s">
        <v>2</v>
      </c>
      <c r="C2" s="15" t="s">
        <v>3</v>
      </c>
      <c r="D2" s="15" t="s">
        <v>4</v>
      </c>
      <c r="E2" s="15" t="s">
        <v>5</v>
      </c>
      <c r="F2" s="15" t="s">
        <v>6</v>
      </c>
      <c r="G2" s="15" t="s">
        <v>7</v>
      </c>
      <c r="H2" s="15" t="s">
        <v>8</v>
      </c>
      <c r="I2" s="15" t="s">
        <v>9</v>
      </c>
      <c r="J2" s="15" t="s">
        <v>10</v>
      </c>
      <c r="K2" s="15" t="s">
        <v>238</v>
      </c>
    </row>
    <row r="3" ht="69" spans="1:11">
      <c r="A3" s="15" t="s">
        <v>14</v>
      </c>
      <c r="B3" s="14" t="s">
        <v>239</v>
      </c>
      <c r="C3" s="16" t="s">
        <v>16</v>
      </c>
      <c r="D3" s="16" t="s">
        <v>17</v>
      </c>
      <c r="E3" s="17" t="s">
        <v>18</v>
      </c>
      <c r="F3" s="16">
        <v>3</v>
      </c>
      <c r="G3" s="16" t="s">
        <v>19</v>
      </c>
      <c r="H3" s="16" t="s">
        <v>20</v>
      </c>
      <c r="I3" s="16" t="s">
        <v>21</v>
      </c>
      <c r="J3" s="16" t="s">
        <v>22</v>
      </c>
      <c r="K3" s="16"/>
    </row>
    <row r="4" ht="34.5" spans="1:11">
      <c r="A4" s="15"/>
      <c r="B4" s="14"/>
      <c r="C4" s="16"/>
      <c r="D4" s="16" t="s">
        <v>26</v>
      </c>
      <c r="E4" s="17" t="s">
        <v>27</v>
      </c>
      <c r="F4" s="16">
        <v>2</v>
      </c>
      <c r="G4" s="16" t="s">
        <v>19</v>
      </c>
      <c r="H4" s="16" t="s">
        <v>20</v>
      </c>
      <c r="I4" s="16" t="s">
        <v>21</v>
      </c>
      <c r="J4" s="16" t="s">
        <v>28</v>
      </c>
      <c r="K4" s="16"/>
    </row>
    <row r="5" ht="86.25" spans="1:11">
      <c r="A5" s="15"/>
      <c r="B5" s="14" t="s">
        <v>240</v>
      </c>
      <c r="C5" s="16" t="s">
        <v>31</v>
      </c>
      <c r="D5" s="16" t="s">
        <v>32</v>
      </c>
      <c r="E5" s="17" t="s">
        <v>33</v>
      </c>
      <c r="F5" s="16">
        <v>3</v>
      </c>
      <c r="G5" s="16" t="s">
        <v>19</v>
      </c>
      <c r="H5" s="16" t="s">
        <v>34</v>
      </c>
      <c r="I5" s="16" t="s">
        <v>35</v>
      </c>
      <c r="J5" s="16" t="s">
        <v>36</v>
      </c>
      <c r="K5" s="16"/>
    </row>
    <row r="6" ht="51.75" spans="1:11">
      <c r="A6" s="15"/>
      <c r="B6" s="14"/>
      <c r="C6" s="16"/>
      <c r="D6" s="16" t="s">
        <v>37</v>
      </c>
      <c r="E6" s="18" t="s">
        <v>38</v>
      </c>
      <c r="F6" s="19">
        <v>2</v>
      </c>
      <c r="G6" s="16" t="s">
        <v>19</v>
      </c>
      <c r="H6" s="19" t="s">
        <v>39</v>
      </c>
      <c r="I6" s="19" t="s">
        <v>21</v>
      </c>
      <c r="J6" s="19" t="s">
        <v>40</v>
      </c>
      <c r="K6" s="16"/>
    </row>
    <row r="7" ht="99" customHeight="1" spans="1:11">
      <c r="A7" s="15" t="s">
        <v>241</v>
      </c>
      <c r="B7" s="14" t="s">
        <v>242</v>
      </c>
      <c r="C7" s="16" t="s">
        <v>243</v>
      </c>
      <c r="D7" s="16" t="s">
        <v>44</v>
      </c>
      <c r="E7" s="17" t="s">
        <v>45</v>
      </c>
      <c r="F7" s="16">
        <v>2</v>
      </c>
      <c r="G7" s="16" t="s">
        <v>46</v>
      </c>
      <c r="H7" s="16" t="s">
        <v>47</v>
      </c>
      <c r="I7" s="16" t="s">
        <v>48</v>
      </c>
      <c r="J7" s="16" t="s">
        <v>49</v>
      </c>
      <c r="K7" s="16" t="s">
        <v>244</v>
      </c>
    </row>
    <row r="8" ht="86.25" spans="1:11">
      <c r="A8" s="15"/>
      <c r="B8" s="14"/>
      <c r="C8" s="16"/>
      <c r="D8" s="16" t="s">
        <v>52</v>
      </c>
      <c r="E8" s="17" t="s">
        <v>53</v>
      </c>
      <c r="F8" s="16">
        <v>2</v>
      </c>
      <c r="G8" s="16" t="s">
        <v>46</v>
      </c>
      <c r="H8" s="16" t="s">
        <v>47</v>
      </c>
      <c r="I8" s="16" t="s">
        <v>48</v>
      </c>
      <c r="J8" s="16" t="s">
        <v>49</v>
      </c>
      <c r="K8" s="16" t="s">
        <v>244</v>
      </c>
    </row>
    <row r="9" ht="86.25" spans="1:11">
      <c r="A9" s="15"/>
      <c r="B9" s="14"/>
      <c r="C9" s="16"/>
      <c r="D9" s="16" t="s">
        <v>54</v>
      </c>
      <c r="E9" s="17" t="s">
        <v>55</v>
      </c>
      <c r="F9" s="16">
        <v>2</v>
      </c>
      <c r="G9" s="16" t="s">
        <v>46</v>
      </c>
      <c r="H9" s="16" t="s">
        <v>47</v>
      </c>
      <c r="I9" s="16" t="s">
        <v>48</v>
      </c>
      <c r="J9" s="16" t="s">
        <v>49</v>
      </c>
      <c r="K9" s="16" t="s">
        <v>244</v>
      </c>
    </row>
    <row r="10" ht="86.25" spans="1:11">
      <c r="A10" s="15"/>
      <c r="B10" s="14"/>
      <c r="C10" s="16"/>
      <c r="D10" s="16" t="s">
        <v>56</v>
      </c>
      <c r="E10" s="17" t="s">
        <v>57</v>
      </c>
      <c r="F10" s="16">
        <v>2</v>
      </c>
      <c r="G10" s="16" t="s">
        <v>46</v>
      </c>
      <c r="H10" s="16" t="s">
        <v>58</v>
      </c>
      <c r="I10" s="16" t="s">
        <v>48</v>
      </c>
      <c r="J10" s="16" t="s">
        <v>49</v>
      </c>
      <c r="K10" s="16" t="s">
        <v>244</v>
      </c>
    </row>
    <row r="11" ht="155.25" spans="1:11">
      <c r="A11" s="15"/>
      <c r="B11" s="14"/>
      <c r="C11" s="16"/>
      <c r="D11" s="16" t="s">
        <v>59</v>
      </c>
      <c r="E11" s="17" t="s">
        <v>60</v>
      </c>
      <c r="F11" s="16">
        <v>2</v>
      </c>
      <c r="G11" s="16" t="s">
        <v>46</v>
      </c>
      <c r="H11" s="16" t="s">
        <v>58</v>
      </c>
      <c r="I11" s="16" t="s">
        <v>48</v>
      </c>
      <c r="J11" s="16" t="s">
        <v>49</v>
      </c>
      <c r="K11" s="16" t="s">
        <v>244</v>
      </c>
    </row>
    <row r="12" ht="80" customHeight="1" spans="1:11">
      <c r="A12" s="15"/>
      <c r="B12" s="14"/>
      <c r="C12" s="16"/>
      <c r="D12" s="16" t="s">
        <v>61</v>
      </c>
      <c r="E12" s="17" t="s">
        <v>62</v>
      </c>
      <c r="F12" s="16">
        <v>4</v>
      </c>
      <c r="G12" s="16" t="s">
        <v>63</v>
      </c>
      <c r="H12" s="16" t="s">
        <v>64</v>
      </c>
      <c r="I12" s="16" t="s">
        <v>65</v>
      </c>
      <c r="J12" s="16" t="s">
        <v>66</v>
      </c>
      <c r="K12" s="16" t="s">
        <v>244</v>
      </c>
    </row>
    <row r="13" ht="69" spans="1:11">
      <c r="A13" s="15"/>
      <c r="B13" s="14" t="s">
        <v>83</v>
      </c>
      <c r="C13" s="16" t="s">
        <v>245</v>
      </c>
      <c r="D13" s="16" t="s">
        <v>246</v>
      </c>
      <c r="E13" s="17" t="s">
        <v>247</v>
      </c>
      <c r="F13" s="16">
        <v>2</v>
      </c>
      <c r="G13" s="16" t="s">
        <v>87</v>
      </c>
      <c r="H13" s="16" t="s">
        <v>95</v>
      </c>
      <c r="I13" s="16" t="s">
        <v>248</v>
      </c>
      <c r="J13" s="16" t="s">
        <v>66</v>
      </c>
      <c r="K13" s="16" t="s">
        <v>249</v>
      </c>
    </row>
    <row r="14" ht="51.75" spans="1:11">
      <c r="A14" s="15"/>
      <c r="B14" s="14"/>
      <c r="C14" s="16"/>
      <c r="D14" s="16" t="s">
        <v>250</v>
      </c>
      <c r="E14" s="17" t="s">
        <v>251</v>
      </c>
      <c r="F14" s="16">
        <v>2</v>
      </c>
      <c r="G14" s="16" t="s">
        <v>87</v>
      </c>
      <c r="H14" s="16" t="s">
        <v>252</v>
      </c>
      <c r="I14" s="16" t="s">
        <v>253</v>
      </c>
      <c r="J14" s="16" t="s">
        <v>66</v>
      </c>
      <c r="K14" s="16" t="s">
        <v>254</v>
      </c>
    </row>
    <row r="15" ht="69" spans="1:11">
      <c r="A15" s="15"/>
      <c r="B15" s="14"/>
      <c r="C15" s="16"/>
      <c r="D15" s="16" t="s">
        <v>255</v>
      </c>
      <c r="E15" s="17" t="s">
        <v>256</v>
      </c>
      <c r="F15" s="16">
        <v>2</v>
      </c>
      <c r="G15" s="16" t="s">
        <v>87</v>
      </c>
      <c r="H15" s="16" t="s">
        <v>88</v>
      </c>
      <c r="I15" s="16" t="s">
        <v>257</v>
      </c>
      <c r="J15" s="16" t="s">
        <v>66</v>
      </c>
      <c r="K15" s="16" t="s">
        <v>249</v>
      </c>
    </row>
    <row r="16" ht="86.25" spans="1:11">
      <c r="A16" s="15"/>
      <c r="B16" s="14"/>
      <c r="C16" s="16"/>
      <c r="D16" s="16" t="s">
        <v>258</v>
      </c>
      <c r="E16" s="17" t="s">
        <v>259</v>
      </c>
      <c r="F16" s="16">
        <v>3</v>
      </c>
      <c r="G16" s="16" t="s">
        <v>111</v>
      </c>
      <c r="H16" s="16" t="s">
        <v>112</v>
      </c>
      <c r="I16" s="16" t="s">
        <v>113</v>
      </c>
      <c r="J16" s="16" t="s">
        <v>66</v>
      </c>
      <c r="K16" s="16" t="s">
        <v>260</v>
      </c>
    </row>
    <row r="17" ht="86.25" spans="1:11">
      <c r="A17" s="15"/>
      <c r="B17" s="14"/>
      <c r="C17" s="16"/>
      <c r="D17" s="16" t="s">
        <v>261</v>
      </c>
      <c r="E17" s="17" t="s">
        <v>262</v>
      </c>
      <c r="F17" s="16">
        <v>3</v>
      </c>
      <c r="G17" s="16" t="s">
        <v>111</v>
      </c>
      <c r="H17" s="16" t="s">
        <v>112</v>
      </c>
      <c r="I17" s="16" t="s">
        <v>113</v>
      </c>
      <c r="J17" s="16" t="s">
        <v>66</v>
      </c>
      <c r="K17" s="16" t="s">
        <v>260</v>
      </c>
    </row>
    <row r="18" ht="120.75" spans="1:11">
      <c r="A18" s="15"/>
      <c r="B18" s="14"/>
      <c r="C18" s="16"/>
      <c r="D18" s="16" t="s">
        <v>263</v>
      </c>
      <c r="E18" s="17" t="s">
        <v>264</v>
      </c>
      <c r="F18" s="16">
        <v>5</v>
      </c>
      <c r="G18" s="16" t="s">
        <v>100</v>
      </c>
      <c r="H18" s="16" t="s">
        <v>265</v>
      </c>
      <c r="I18" s="16" t="s">
        <v>266</v>
      </c>
      <c r="J18" s="16" t="s">
        <v>66</v>
      </c>
      <c r="K18" s="16" t="s">
        <v>267</v>
      </c>
    </row>
    <row r="19" ht="155.25" spans="1:11">
      <c r="A19" s="15"/>
      <c r="B19" s="20" t="s">
        <v>127</v>
      </c>
      <c r="C19" s="21" t="s">
        <v>268</v>
      </c>
      <c r="D19" s="16" t="s">
        <v>129</v>
      </c>
      <c r="E19" s="22" t="s">
        <v>130</v>
      </c>
      <c r="F19" s="16">
        <v>3</v>
      </c>
      <c r="G19" s="16" t="s">
        <v>46</v>
      </c>
      <c r="H19" s="16" t="s">
        <v>58</v>
      </c>
      <c r="I19" s="16" t="s">
        <v>131</v>
      </c>
      <c r="J19" s="16" t="s">
        <v>66</v>
      </c>
      <c r="K19" s="16"/>
    </row>
    <row r="20" ht="103.5" spans="1:11">
      <c r="A20" s="15" t="s">
        <v>269</v>
      </c>
      <c r="B20" s="14" t="s">
        <v>270</v>
      </c>
      <c r="C20" s="16" t="s">
        <v>135</v>
      </c>
      <c r="D20" s="16" t="s">
        <v>136</v>
      </c>
      <c r="E20" s="17" t="s">
        <v>137</v>
      </c>
      <c r="F20" s="16">
        <v>4</v>
      </c>
      <c r="G20" s="16" t="s">
        <v>46</v>
      </c>
      <c r="H20" s="16" t="s">
        <v>20</v>
      </c>
      <c r="I20" s="16" t="s">
        <v>138</v>
      </c>
      <c r="J20" s="16" t="s">
        <v>49</v>
      </c>
      <c r="K20" s="16"/>
    </row>
    <row r="21" ht="103.5" spans="1:11">
      <c r="A21" s="15"/>
      <c r="B21" s="14"/>
      <c r="C21" s="16"/>
      <c r="D21" s="16" t="s">
        <v>139</v>
      </c>
      <c r="E21" s="17" t="s">
        <v>140</v>
      </c>
      <c r="F21" s="16">
        <v>4</v>
      </c>
      <c r="G21" s="16" t="s">
        <v>46</v>
      </c>
      <c r="H21" s="16" t="s">
        <v>20</v>
      </c>
      <c r="I21" s="16" t="s">
        <v>138</v>
      </c>
      <c r="J21" s="16" t="s">
        <v>49</v>
      </c>
      <c r="K21" s="16"/>
    </row>
    <row r="22" ht="86.25" spans="1:11">
      <c r="A22" s="15"/>
      <c r="B22" s="14"/>
      <c r="C22" s="16"/>
      <c r="D22" s="16" t="s">
        <v>141</v>
      </c>
      <c r="E22" s="17" t="s">
        <v>142</v>
      </c>
      <c r="F22" s="16">
        <v>4</v>
      </c>
      <c r="G22" s="16" t="s">
        <v>46</v>
      </c>
      <c r="H22" s="16" t="s">
        <v>20</v>
      </c>
      <c r="I22" s="16" t="s">
        <v>138</v>
      </c>
      <c r="J22" s="16" t="s">
        <v>49</v>
      </c>
      <c r="K22" s="16"/>
    </row>
    <row r="23" ht="86.25" spans="1:11">
      <c r="A23" s="15"/>
      <c r="B23" s="14" t="s">
        <v>143</v>
      </c>
      <c r="C23" s="16" t="s">
        <v>271</v>
      </c>
      <c r="D23" s="16" t="s">
        <v>145</v>
      </c>
      <c r="E23" s="17" t="s">
        <v>146</v>
      </c>
      <c r="F23" s="16">
        <v>4</v>
      </c>
      <c r="G23" s="16" t="s">
        <v>46</v>
      </c>
      <c r="H23" s="16" t="s">
        <v>147</v>
      </c>
      <c r="I23" s="16" t="s">
        <v>272</v>
      </c>
      <c r="J23" s="16" t="s">
        <v>149</v>
      </c>
      <c r="K23" s="16"/>
    </row>
    <row r="24" ht="103.5" spans="1:11">
      <c r="A24" s="15"/>
      <c r="B24" s="14"/>
      <c r="C24" s="16"/>
      <c r="D24" s="16" t="s">
        <v>151</v>
      </c>
      <c r="E24" s="17" t="s">
        <v>152</v>
      </c>
      <c r="F24" s="16">
        <v>4</v>
      </c>
      <c r="G24" s="16" t="s">
        <v>46</v>
      </c>
      <c r="H24" s="16" t="s">
        <v>147</v>
      </c>
      <c r="I24" s="16" t="s">
        <v>153</v>
      </c>
      <c r="J24" s="16" t="s">
        <v>66</v>
      </c>
      <c r="K24" s="16"/>
    </row>
    <row r="25" ht="51.75" spans="1:11">
      <c r="A25" s="15"/>
      <c r="B25" s="14"/>
      <c r="C25" s="16"/>
      <c r="D25" s="16" t="s">
        <v>154</v>
      </c>
      <c r="E25" s="17" t="s">
        <v>155</v>
      </c>
      <c r="F25" s="16">
        <v>4</v>
      </c>
      <c r="G25" s="16" t="s">
        <v>46</v>
      </c>
      <c r="H25" s="16" t="s">
        <v>58</v>
      </c>
      <c r="I25" s="16" t="s">
        <v>273</v>
      </c>
      <c r="J25" s="16" t="s">
        <v>66</v>
      </c>
      <c r="K25" s="16"/>
    </row>
    <row r="26" ht="51.75" spans="1:11">
      <c r="A26" s="15"/>
      <c r="B26" s="14" t="s">
        <v>171</v>
      </c>
      <c r="C26" s="16" t="s">
        <v>172</v>
      </c>
      <c r="D26" s="16" t="s">
        <v>173</v>
      </c>
      <c r="E26" s="17" t="s">
        <v>174</v>
      </c>
      <c r="F26" s="16">
        <v>2</v>
      </c>
      <c r="G26" s="16" t="s">
        <v>46</v>
      </c>
      <c r="H26" s="16" t="s">
        <v>175</v>
      </c>
      <c r="I26" s="16" t="s">
        <v>176</v>
      </c>
      <c r="J26" s="16" t="s">
        <v>177</v>
      </c>
      <c r="K26" s="16"/>
    </row>
    <row r="27" ht="51.75" spans="1:11">
      <c r="A27" s="15"/>
      <c r="B27" s="14"/>
      <c r="C27" s="16"/>
      <c r="D27" s="16" t="s">
        <v>179</v>
      </c>
      <c r="E27" s="17" t="s">
        <v>180</v>
      </c>
      <c r="F27" s="16">
        <v>2</v>
      </c>
      <c r="G27" s="16" t="s">
        <v>46</v>
      </c>
      <c r="H27" s="16" t="s">
        <v>175</v>
      </c>
      <c r="I27" s="16" t="s">
        <v>181</v>
      </c>
      <c r="J27" s="16" t="s">
        <v>177</v>
      </c>
      <c r="K27" s="16"/>
    </row>
    <row r="28" ht="155.25" spans="1:11">
      <c r="A28" s="15" t="s">
        <v>274</v>
      </c>
      <c r="B28" s="14" t="s">
        <v>275</v>
      </c>
      <c r="C28" s="16" t="s">
        <v>184</v>
      </c>
      <c r="D28" s="19" t="s">
        <v>185</v>
      </c>
      <c r="E28" s="18" t="s">
        <v>276</v>
      </c>
      <c r="F28" s="19">
        <v>1</v>
      </c>
      <c r="G28" s="19" t="s">
        <v>46</v>
      </c>
      <c r="H28" s="19" t="s">
        <v>187</v>
      </c>
      <c r="I28" s="19" t="s">
        <v>153</v>
      </c>
      <c r="J28" s="19" t="s">
        <v>49</v>
      </c>
      <c r="K28" s="19" t="s">
        <v>277</v>
      </c>
    </row>
    <row r="29" ht="207" spans="1:11">
      <c r="A29" s="15"/>
      <c r="B29" s="14"/>
      <c r="C29" s="16"/>
      <c r="D29" s="16" t="s">
        <v>188</v>
      </c>
      <c r="E29" s="17" t="s">
        <v>189</v>
      </c>
      <c r="F29" s="16">
        <v>2</v>
      </c>
      <c r="G29" s="16" t="s">
        <v>46</v>
      </c>
      <c r="H29" s="16" t="s">
        <v>190</v>
      </c>
      <c r="I29" s="16" t="s">
        <v>191</v>
      </c>
      <c r="J29" s="16" t="s">
        <v>192</v>
      </c>
      <c r="K29" s="19" t="s">
        <v>277</v>
      </c>
    </row>
    <row r="30" ht="138" spans="1:11">
      <c r="A30" s="15"/>
      <c r="B30" s="14"/>
      <c r="C30" s="16"/>
      <c r="D30" s="16" t="s">
        <v>193</v>
      </c>
      <c r="E30" s="17" t="s">
        <v>194</v>
      </c>
      <c r="F30" s="16">
        <v>2</v>
      </c>
      <c r="G30" s="16" t="s">
        <v>46</v>
      </c>
      <c r="H30" s="16" t="s">
        <v>195</v>
      </c>
      <c r="I30" s="16" t="s">
        <v>196</v>
      </c>
      <c r="J30" s="16" t="s">
        <v>197</v>
      </c>
      <c r="K30" s="16" t="s">
        <v>278</v>
      </c>
    </row>
    <row r="31" ht="207" spans="1:11">
      <c r="A31" s="15"/>
      <c r="B31" s="14"/>
      <c r="C31" s="16"/>
      <c r="D31" s="16" t="s">
        <v>198</v>
      </c>
      <c r="E31" s="18" t="s">
        <v>199</v>
      </c>
      <c r="F31" s="16">
        <v>2</v>
      </c>
      <c r="G31" s="16" t="s">
        <v>46</v>
      </c>
      <c r="H31" s="16" t="s">
        <v>200</v>
      </c>
      <c r="I31" s="16" t="s">
        <v>201</v>
      </c>
      <c r="J31" s="16" t="s">
        <v>279</v>
      </c>
      <c r="K31" s="16" t="s">
        <v>277</v>
      </c>
    </row>
    <row r="32" ht="345" spans="1:11">
      <c r="A32" s="15"/>
      <c r="B32" s="14"/>
      <c r="C32" s="16"/>
      <c r="D32" s="16" t="s">
        <v>203</v>
      </c>
      <c r="E32" s="17" t="s">
        <v>204</v>
      </c>
      <c r="F32" s="16">
        <v>2</v>
      </c>
      <c r="G32" s="16" t="s">
        <v>46</v>
      </c>
      <c r="H32" s="16" t="s">
        <v>280</v>
      </c>
      <c r="I32" s="16" t="s">
        <v>21</v>
      </c>
      <c r="J32" s="16" t="s">
        <v>281</v>
      </c>
      <c r="K32" s="17" t="s">
        <v>282</v>
      </c>
    </row>
    <row r="33" ht="120.75" spans="1:11">
      <c r="A33" s="15"/>
      <c r="B33" s="23" t="s">
        <v>283</v>
      </c>
      <c r="C33" s="24" t="s">
        <v>208</v>
      </c>
      <c r="D33" s="17" t="s">
        <v>209</v>
      </c>
      <c r="E33" s="17" t="s">
        <v>284</v>
      </c>
      <c r="F33" s="16">
        <v>3</v>
      </c>
      <c r="G33" s="16" t="s">
        <v>46</v>
      </c>
      <c r="H33" s="16" t="s">
        <v>211</v>
      </c>
      <c r="I33" s="16" t="s">
        <v>21</v>
      </c>
      <c r="J33" s="16" t="s">
        <v>212</v>
      </c>
      <c r="K33" s="16" t="s">
        <v>277</v>
      </c>
    </row>
    <row r="34" ht="69" spans="1:11">
      <c r="A34" s="15"/>
      <c r="B34" s="25"/>
      <c r="C34" s="26"/>
      <c r="D34" s="16" t="s">
        <v>213</v>
      </c>
      <c r="E34" s="17" t="s">
        <v>214</v>
      </c>
      <c r="F34" s="16">
        <v>3</v>
      </c>
      <c r="G34" s="16" t="s">
        <v>46</v>
      </c>
      <c r="H34" s="16" t="s">
        <v>211</v>
      </c>
      <c r="I34" s="16" t="s">
        <v>21</v>
      </c>
      <c r="J34" s="16" t="s">
        <v>215</v>
      </c>
      <c r="K34" s="16" t="s">
        <v>277</v>
      </c>
    </row>
    <row r="35" ht="120.75" spans="1:11">
      <c r="A35" s="15" t="s">
        <v>216</v>
      </c>
      <c r="B35" s="23" t="s">
        <v>217</v>
      </c>
      <c r="C35" s="24" t="s">
        <v>218</v>
      </c>
      <c r="D35" s="16" t="s">
        <v>219</v>
      </c>
      <c r="E35" s="17" t="s">
        <v>220</v>
      </c>
      <c r="F35" s="16">
        <v>2</v>
      </c>
      <c r="G35" s="16" t="s">
        <v>46</v>
      </c>
      <c r="H35" s="16" t="s">
        <v>221</v>
      </c>
      <c r="I35" s="16" t="s">
        <v>222</v>
      </c>
      <c r="J35" s="16" t="s">
        <v>223</v>
      </c>
      <c r="K35" s="16"/>
    </row>
    <row r="36" ht="51.75" spans="1:11">
      <c r="A36" s="15"/>
      <c r="B36" s="27"/>
      <c r="C36" s="28"/>
      <c r="D36" s="16" t="s">
        <v>285</v>
      </c>
      <c r="E36" s="17" t="s">
        <v>286</v>
      </c>
      <c r="F36" s="16">
        <v>3</v>
      </c>
      <c r="G36" s="16" t="s">
        <v>46</v>
      </c>
      <c r="H36" s="16" t="s">
        <v>221</v>
      </c>
      <c r="I36" s="16" t="s">
        <v>222</v>
      </c>
      <c r="J36" s="16" t="s">
        <v>223</v>
      </c>
      <c r="K36" s="16"/>
    </row>
    <row r="37" ht="69" spans="1:11">
      <c r="A37" s="15"/>
      <c r="B37" s="25"/>
      <c r="C37" s="26"/>
      <c r="D37" s="16" t="s">
        <v>287</v>
      </c>
      <c r="E37" s="17" t="s">
        <v>288</v>
      </c>
      <c r="F37" s="16">
        <v>3</v>
      </c>
      <c r="G37" s="16" t="s">
        <v>46</v>
      </c>
      <c r="H37" s="16" t="s">
        <v>221</v>
      </c>
      <c r="I37" s="16" t="s">
        <v>222</v>
      </c>
      <c r="J37" s="16" t="s">
        <v>223</v>
      </c>
      <c r="K37" s="16"/>
    </row>
    <row r="38" ht="51.75" spans="1:11">
      <c r="A38" s="15"/>
      <c r="B38" s="14" t="s">
        <v>230</v>
      </c>
      <c r="C38" s="16" t="s">
        <v>231</v>
      </c>
      <c r="D38" s="16" t="s">
        <v>232</v>
      </c>
      <c r="E38" s="17" t="s">
        <v>289</v>
      </c>
      <c r="F38" s="16">
        <v>3</v>
      </c>
      <c r="G38" s="16" t="s">
        <v>19</v>
      </c>
      <c r="H38" s="16" t="s">
        <v>20</v>
      </c>
      <c r="I38" s="16" t="s">
        <v>21</v>
      </c>
      <c r="J38" s="16" t="s">
        <v>234</v>
      </c>
      <c r="K38" s="16"/>
    </row>
    <row r="39" ht="51.75" spans="1:11">
      <c r="A39" s="15"/>
      <c r="B39" s="14"/>
      <c r="C39" s="16"/>
      <c r="D39" s="16" t="s">
        <v>235</v>
      </c>
      <c r="E39" s="17" t="s">
        <v>236</v>
      </c>
      <c r="F39" s="16">
        <v>2</v>
      </c>
      <c r="G39" s="16" t="s">
        <v>19</v>
      </c>
      <c r="H39" s="16" t="s">
        <v>20</v>
      </c>
      <c r="I39" s="16" t="s">
        <v>21</v>
      </c>
      <c r="J39" s="16" t="s">
        <v>234</v>
      </c>
      <c r="K39" s="16"/>
    </row>
    <row r="40" ht="14.25" spans="1:11">
      <c r="A40" s="29"/>
      <c r="B40" s="30"/>
      <c r="C40" s="30"/>
      <c r="D40" s="29"/>
      <c r="E40" s="29"/>
      <c r="F40" s="30">
        <f>SUM(F3:F39)</f>
        <v>100</v>
      </c>
      <c r="G40" s="30"/>
      <c r="H40" s="30"/>
      <c r="I40" s="30"/>
      <c r="J40" s="30"/>
      <c r="K40" s="30"/>
    </row>
  </sheetData>
  <autoFilter xmlns:etc="http://www.wps.cn/officeDocument/2017/etCustomData" ref="A2:K40" etc:filterBottomFollowUsedRange="0">
    <extLst/>
  </autoFilter>
  <mergeCells count="28">
    <mergeCell ref="A1:K1"/>
    <mergeCell ref="A3:A6"/>
    <mergeCell ref="A7:A19"/>
    <mergeCell ref="A20:A27"/>
    <mergeCell ref="A28:A34"/>
    <mergeCell ref="A35:A39"/>
    <mergeCell ref="B3:B4"/>
    <mergeCell ref="B5:B6"/>
    <mergeCell ref="B7:B12"/>
    <mergeCell ref="B13:B18"/>
    <mergeCell ref="B20:B22"/>
    <mergeCell ref="B23:B25"/>
    <mergeCell ref="B26:B27"/>
    <mergeCell ref="B28:B32"/>
    <mergeCell ref="B33:B34"/>
    <mergeCell ref="B35:B37"/>
    <mergeCell ref="B38:B39"/>
    <mergeCell ref="C3:C4"/>
    <mergeCell ref="C5:C6"/>
    <mergeCell ref="C7:C12"/>
    <mergeCell ref="C13:C18"/>
    <mergeCell ref="C20:C22"/>
    <mergeCell ref="C23:C25"/>
    <mergeCell ref="C26:C27"/>
    <mergeCell ref="C28:C32"/>
    <mergeCell ref="C33:C34"/>
    <mergeCell ref="C35:C37"/>
    <mergeCell ref="C38:C3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
  <sheetViews>
    <sheetView tabSelected="1" zoomScale="85" zoomScaleNormal="85" workbookViewId="0">
      <selection activeCell="M9" sqref="M9"/>
    </sheetView>
  </sheetViews>
  <sheetFormatPr defaultColWidth="8.725" defaultRowHeight="13.5"/>
  <cols>
    <col min="1" max="1" width="14.1833333333333" customWidth="1"/>
    <col min="2" max="2" width="13.8166666666667" customWidth="1"/>
    <col min="3" max="3" width="13.0916666666667" customWidth="1"/>
    <col min="4" max="4" width="16.5416666666667" customWidth="1"/>
    <col min="5" max="5" width="48.425" customWidth="1"/>
    <col min="6" max="6" width="78.0083333333333" customWidth="1"/>
    <col min="7" max="7" width="27.7666666666667" customWidth="1"/>
    <col min="8" max="8" width="9.41666666666667" customWidth="1"/>
    <col min="9" max="10" width="8.63333333333333" customWidth="1"/>
  </cols>
  <sheetData>
    <row r="1" ht="15" spans="1:10">
      <c r="A1" s="1" t="s">
        <v>290</v>
      </c>
      <c r="B1" s="1"/>
      <c r="C1" s="1"/>
      <c r="D1" s="1"/>
      <c r="E1" s="1"/>
      <c r="F1" s="1"/>
      <c r="G1" s="2"/>
      <c r="H1" s="1"/>
      <c r="I1" s="1"/>
      <c r="J1" s="1"/>
    </row>
    <row r="2" ht="64.5" spans="1:10">
      <c r="A2" s="3" t="s">
        <v>291</v>
      </c>
      <c r="B2" s="3" t="s">
        <v>292</v>
      </c>
      <c r="C2" s="4" t="s">
        <v>293</v>
      </c>
      <c r="D2" s="4" t="s">
        <v>294</v>
      </c>
      <c r="E2" s="4" t="s">
        <v>295</v>
      </c>
      <c r="F2" s="4" t="s">
        <v>296</v>
      </c>
      <c r="G2" s="5" t="s">
        <v>297</v>
      </c>
      <c r="H2" s="4" t="s">
        <v>298</v>
      </c>
      <c r="I2" s="4" t="s">
        <v>299</v>
      </c>
      <c r="J2" s="4" t="s">
        <v>300</v>
      </c>
    </row>
    <row r="3" ht="33" spans="1:10">
      <c r="A3" s="6" t="s">
        <v>301</v>
      </c>
      <c r="B3" s="6" t="s">
        <v>302</v>
      </c>
      <c r="C3" s="7" t="s">
        <v>303</v>
      </c>
      <c r="D3" s="7" t="s">
        <v>304</v>
      </c>
      <c r="E3" s="7" t="s">
        <v>305</v>
      </c>
      <c r="F3" s="7" t="s">
        <v>306</v>
      </c>
      <c r="G3" s="8">
        <v>3</v>
      </c>
      <c r="H3" s="7"/>
      <c r="I3" s="7"/>
      <c r="J3" s="7"/>
    </row>
    <row r="4" ht="66" spans="1:10">
      <c r="A4" s="6"/>
      <c r="B4" s="6"/>
      <c r="C4" s="7" t="s">
        <v>307</v>
      </c>
      <c r="D4" s="7" t="s">
        <v>304</v>
      </c>
      <c r="E4" s="7" t="s">
        <v>308</v>
      </c>
      <c r="F4" s="7" t="s">
        <v>309</v>
      </c>
      <c r="G4" s="8">
        <v>3</v>
      </c>
      <c r="H4" s="7"/>
      <c r="I4" s="7"/>
      <c r="J4" s="7"/>
    </row>
    <row r="5" ht="33" spans="1:10">
      <c r="A5" s="6"/>
      <c r="B5" s="6"/>
      <c r="C5" s="7" t="s">
        <v>310</v>
      </c>
      <c r="D5" s="7" t="s">
        <v>304</v>
      </c>
      <c r="E5" s="7" t="s">
        <v>311</v>
      </c>
      <c r="F5" s="7" t="s">
        <v>312</v>
      </c>
      <c r="G5" s="8">
        <v>2</v>
      </c>
      <c r="H5" s="7"/>
      <c r="I5" s="7"/>
      <c r="J5" s="7"/>
    </row>
    <row r="6" ht="33" spans="1:10">
      <c r="A6" s="6"/>
      <c r="B6" s="6"/>
      <c r="C6" s="7" t="s">
        <v>313</v>
      </c>
      <c r="D6" s="7" t="s">
        <v>304</v>
      </c>
      <c r="E6" s="7" t="s">
        <v>314</v>
      </c>
      <c r="F6" s="7" t="s">
        <v>315</v>
      </c>
      <c r="G6" s="8">
        <v>2</v>
      </c>
      <c r="H6" s="7"/>
      <c r="I6" s="7"/>
      <c r="J6" s="7"/>
    </row>
    <row r="7" ht="33" spans="1:10">
      <c r="A7" s="8" t="s">
        <v>316</v>
      </c>
      <c r="B7" s="6" t="s">
        <v>317</v>
      </c>
      <c r="C7" s="7" t="s">
        <v>318</v>
      </c>
      <c r="D7" s="7" t="s">
        <v>304</v>
      </c>
      <c r="E7" s="7" t="s">
        <v>319</v>
      </c>
      <c r="F7" s="7" t="s">
        <v>320</v>
      </c>
      <c r="G7" s="8">
        <v>3</v>
      </c>
      <c r="H7" s="7"/>
      <c r="I7" s="7"/>
      <c r="J7" s="7"/>
    </row>
    <row r="8" ht="49.5" spans="1:10">
      <c r="A8" s="8"/>
      <c r="B8" s="8" t="s">
        <v>321</v>
      </c>
      <c r="C8" s="7" t="s">
        <v>322</v>
      </c>
      <c r="D8" s="7" t="s">
        <v>304</v>
      </c>
      <c r="E8" s="7" t="s">
        <v>323</v>
      </c>
      <c r="F8" s="7" t="s">
        <v>324</v>
      </c>
      <c r="G8" s="8">
        <v>3</v>
      </c>
      <c r="H8" s="7"/>
      <c r="I8" s="7"/>
      <c r="J8" s="7"/>
    </row>
    <row r="9" ht="132" spans="1:10">
      <c r="A9" s="8"/>
      <c r="B9" s="8"/>
      <c r="C9" s="7" t="s">
        <v>325</v>
      </c>
      <c r="D9" s="7" t="s">
        <v>304</v>
      </c>
      <c r="E9" s="7" t="s">
        <v>326</v>
      </c>
      <c r="F9" s="7" t="s">
        <v>327</v>
      </c>
      <c r="G9" s="8">
        <v>3</v>
      </c>
      <c r="H9" s="7"/>
      <c r="I9" s="7"/>
      <c r="J9" s="7"/>
    </row>
    <row r="10" ht="99" spans="1:10">
      <c r="A10" s="8"/>
      <c r="B10" s="8"/>
      <c r="C10" s="7" t="s">
        <v>328</v>
      </c>
      <c r="D10" s="9" t="s">
        <v>304</v>
      </c>
      <c r="E10" s="7" t="s">
        <v>329</v>
      </c>
      <c r="F10" s="7" t="s">
        <v>330</v>
      </c>
      <c r="G10" s="8">
        <v>3</v>
      </c>
      <c r="H10" s="7"/>
      <c r="I10" s="7"/>
      <c r="J10" s="7"/>
    </row>
    <row r="11" ht="115.5" spans="1:10">
      <c r="A11" s="8"/>
      <c r="B11" s="8"/>
      <c r="C11" s="7" t="s">
        <v>331</v>
      </c>
      <c r="D11" s="9" t="s">
        <v>304</v>
      </c>
      <c r="E11" s="7" t="s">
        <v>332</v>
      </c>
      <c r="F11" s="7" t="s">
        <v>333</v>
      </c>
      <c r="G11" s="8">
        <v>2</v>
      </c>
      <c r="H11" s="7"/>
      <c r="I11" s="7"/>
      <c r="J11" s="7"/>
    </row>
    <row r="12" ht="49.5" spans="1:10">
      <c r="A12" s="8"/>
      <c r="B12" s="10" t="s">
        <v>334</v>
      </c>
      <c r="C12" s="7" t="s">
        <v>322</v>
      </c>
      <c r="D12" s="7" t="s">
        <v>304</v>
      </c>
      <c r="E12" s="7" t="s">
        <v>335</v>
      </c>
      <c r="F12" s="7" t="s">
        <v>336</v>
      </c>
      <c r="G12" s="8">
        <v>3</v>
      </c>
      <c r="H12" s="7"/>
      <c r="I12" s="7"/>
      <c r="J12" s="7"/>
    </row>
    <row r="13" ht="115.5" spans="1:10">
      <c r="A13" s="8"/>
      <c r="B13" s="11"/>
      <c r="C13" s="7" t="s">
        <v>325</v>
      </c>
      <c r="D13" s="7" t="s">
        <v>304</v>
      </c>
      <c r="E13" s="7" t="s">
        <v>337</v>
      </c>
      <c r="F13" s="7" t="s">
        <v>338</v>
      </c>
      <c r="G13" s="8">
        <v>3</v>
      </c>
      <c r="H13" s="7"/>
      <c r="I13" s="7"/>
      <c r="J13" s="7"/>
    </row>
    <row r="14" ht="49.5" spans="1:10">
      <c r="A14" s="8"/>
      <c r="B14" s="11"/>
      <c r="C14" s="7" t="s">
        <v>328</v>
      </c>
      <c r="D14" s="9" t="s">
        <v>304</v>
      </c>
      <c r="E14" s="7" t="s">
        <v>329</v>
      </c>
      <c r="F14" s="7" t="s">
        <v>339</v>
      </c>
      <c r="G14" s="8">
        <v>3</v>
      </c>
      <c r="H14" s="7"/>
      <c r="I14" s="7"/>
      <c r="J14" s="7"/>
    </row>
    <row r="15" ht="49.5" spans="1:10">
      <c r="A15" s="8"/>
      <c r="B15" s="12"/>
      <c r="C15" s="7" t="s">
        <v>331</v>
      </c>
      <c r="D15" s="9" t="s">
        <v>340</v>
      </c>
      <c r="E15" s="7" t="s">
        <v>332</v>
      </c>
      <c r="F15" s="7" t="s">
        <v>341</v>
      </c>
      <c r="G15" s="8">
        <v>2</v>
      </c>
      <c r="H15" s="7"/>
      <c r="I15" s="7"/>
      <c r="J15" s="7"/>
    </row>
    <row r="16" ht="66" spans="1:10">
      <c r="A16" s="8"/>
      <c r="B16" s="10" t="s">
        <v>342</v>
      </c>
      <c r="C16" s="7" t="s">
        <v>322</v>
      </c>
      <c r="D16" s="7" t="s">
        <v>304</v>
      </c>
      <c r="E16" s="7" t="s">
        <v>343</v>
      </c>
      <c r="F16" s="7" t="s">
        <v>344</v>
      </c>
      <c r="G16" s="8">
        <v>3</v>
      </c>
      <c r="H16" s="7"/>
      <c r="I16" s="7"/>
      <c r="J16" s="7"/>
    </row>
    <row r="17" ht="66" spans="1:10">
      <c r="A17" s="8"/>
      <c r="B17" s="11"/>
      <c r="C17" s="7" t="s">
        <v>325</v>
      </c>
      <c r="D17" s="7" t="s">
        <v>304</v>
      </c>
      <c r="E17" s="7" t="s">
        <v>345</v>
      </c>
      <c r="F17" s="7" t="s">
        <v>346</v>
      </c>
      <c r="G17" s="8">
        <v>3</v>
      </c>
      <c r="H17" s="7"/>
      <c r="I17" s="7"/>
      <c r="J17" s="7"/>
    </row>
    <row r="18" ht="49.5" spans="1:10">
      <c r="A18" s="8"/>
      <c r="B18" s="11"/>
      <c r="C18" s="7" t="s">
        <v>328</v>
      </c>
      <c r="D18" s="9" t="s">
        <v>304</v>
      </c>
      <c r="E18" s="7" t="s">
        <v>329</v>
      </c>
      <c r="F18" s="7" t="s">
        <v>347</v>
      </c>
      <c r="G18" s="8">
        <v>2</v>
      </c>
      <c r="H18" s="7"/>
      <c r="I18" s="7"/>
      <c r="J18" s="7"/>
    </row>
    <row r="19" ht="49.5" spans="1:10">
      <c r="A19" s="8"/>
      <c r="B19" s="12"/>
      <c r="C19" s="7" t="s">
        <v>331</v>
      </c>
      <c r="D19" s="9" t="s">
        <v>340</v>
      </c>
      <c r="E19" s="7" t="s">
        <v>332</v>
      </c>
      <c r="F19" s="7" t="s">
        <v>348</v>
      </c>
      <c r="G19" s="8">
        <v>2</v>
      </c>
      <c r="H19" s="7"/>
      <c r="I19" s="7"/>
      <c r="J19" s="7"/>
    </row>
    <row r="20" ht="49.5" spans="1:10">
      <c r="A20" s="8"/>
      <c r="B20" s="10" t="s">
        <v>349</v>
      </c>
      <c r="C20" s="7" t="s">
        <v>322</v>
      </c>
      <c r="D20" s="7" t="s">
        <v>304</v>
      </c>
      <c r="E20" s="7" t="s">
        <v>350</v>
      </c>
      <c r="F20" s="7" t="s">
        <v>351</v>
      </c>
      <c r="G20" s="8">
        <v>3</v>
      </c>
      <c r="H20" s="7"/>
      <c r="I20" s="7"/>
      <c r="J20" s="7"/>
    </row>
    <row r="21" ht="115.5" spans="1:10">
      <c r="A21" s="8"/>
      <c r="B21" s="11"/>
      <c r="C21" s="7" t="s">
        <v>325</v>
      </c>
      <c r="D21" s="7" t="s">
        <v>304</v>
      </c>
      <c r="E21" s="7" t="s">
        <v>352</v>
      </c>
      <c r="F21" s="7" t="s">
        <v>353</v>
      </c>
      <c r="G21" s="8">
        <v>3</v>
      </c>
      <c r="H21" s="7"/>
      <c r="I21" s="7"/>
      <c r="J21" s="7"/>
    </row>
    <row r="22" ht="49.5" spans="1:10">
      <c r="A22" s="8"/>
      <c r="B22" s="11"/>
      <c r="C22" s="7" t="s">
        <v>328</v>
      </c>
      <c r="D22" s="9" t="s">
        <v>304</v>
      </c>
      <c r="E22" s="7" t="s">
        <v>329</v>
      </c>
      <c r="F22" s="7" t="s">
        <v>354</v>
      </c>
      <c r="G22" s="8">
        <v>2</v>
      </c>
      <c r="H22" s="7"/>
      <c r="I22" s="7"/>
      <c r="J22" s="7"/>
    </row>
    <row r="23" ht="49.5" spans="1:10">
      <c r="A23" s="8"/>
      <c r="B23" s="12"/>
      <c r="C23" s="7" t="s">
        <v>331</v>
      </c>
      <c r="D23" s="9" t="s">
        <v>340</v>
      </c>
      <c r="E23" s="7" t="s">
        <v>332</v>
      </c>
      <c r="F23" s="7" t="s">
        <v>355</v>
      </c>
      <c r="G23" s="8">
        <v>2</v>
      </c>
      <c r="H23" s="7"/>
      <c r="I23" s="7"/>
      <c r="J23" s="7"/>
    </row>
    <row r="24" ht="33" spans="1:10">
      <c r="A24" s="8"/>
      <c r="B24" s="11" t="s">
        <v>356</v>
      </c>
      <c r="C24" s="7" t="s">
        <v>322</v>
      </c>
      <c r="D24" s="7" t="s">
        <v>304</v>
      </c>
      <c r="E24" s="7" t="s">
        <v>357</v>
      </c>
      <c r="F24" s="7" t="s">
        <v>358</v>
      </c>
      <c r="G24" s="8">
        <v>2</v>
      </c>
      <c r="H24" s="7"/>
      <c r="I24" s="7"/>
      <c r="J24" s="7"/>
    </row>
    <row r="25" ht="82.5" spans="1:10">
      <c r="A25" s="8"/>
      <c r="B25" s="13"/>
      <c r="C25" s="7" t="s">
        <v>359</v>
      </c>
      <c r="D25" s="7" t="s">
        <v>304</v>
      </c>
      <c r="E25" s="7" t="s">
        <v>360</v>
      </c>
      <c r="F25" s="7" t="s">
        <v>361</v>
      </c>
      <c r="G25" s="8">
        <v>2</v>
      </c>
      <c r="H25" s="7"/>
      <c r="I25" s="7"/>
      <c r="J25" s="7"/>
    </row>
    <row r="26" ht="33" spans="1:10">
      <c r="A26" s="10" t="s">
        <v>362</v>
      </c>
      <c r="B26" s="8" t="s">
        <v>363</v>
      </c>
      <c r="C26" s="7" t="s">
        <v>364</v>
      </c>
      <c r="D26" s="7" t="s">
        <v>304</v>
      </c>
      <c r="E26" s="7" t="s">
        <v>365</v>
      </c>
      <c r="F26" s="7" t="s">
        <v>366</v>
      </c>
      <c r="G26" s="8">
        <v>1</v>
      </c>
      <c r="H26" s="7"/>
      <c r="I26" s="7"/>
      <c r="J26" s="7"/>
    </row>
    <row r="27" ht="132" spans="1:10">
      <c r="A27" s="11"/>
      <c r="B27" s="8"/>
      <c r="C27" s="7" t="s">
        <v>367</v>
      </c>
      <c r="D27" s="7" t="s">
        <v>304</v>
      </c>
      <c r="E27" s="7" t="s">
        <v>368</v>
      </c>
      <c r="F27" s="7" t="s">
        <v>369</v>
      </c>
      <c r="G27" s="8">
        <v>2</v>
      </c>
      <c r="H27" s="7"/>
      <c r="I27" s="7"/>
      <c r="J27" s="7"/>
    </row>
    <row r="28" ht="82.5" spans="1:10">
      <c r="A28" s="11"/>
      <c r="B28" s="8"/>
      <c r="C28" s="7" t="s">
        <v>370</v>
      </c>
      <c r="D28" s="7" t="s">
        <v>304</v>
      </c>
      <c r="E28" s="7" t="s">
        <v>371</v>
      </c>
      <c r="F28" s="7" t="s">
        <v>372</v>
      </c>
      <c r="G28" s="8">
        <v>2</v>
      </c>
      <c r="H28" s="7"/>
      <c r="I28" s="7"/>
      <c r="J28" s="7"/>
    </row>
    <row r="29" ht="66" spans="1:10">
      <c r="A29" s="11"/>
      <c r="B29" s="8"/>
      <c r="C29" s="7" t="s">
        <v>373</v>
      </c>
      <c r="D29" s="7" t="s">
        <v>340</v>
      </c>
      <c r="E29" s="7" t="s">
        <v>374</v>
      </c>
      <c r="F29" s="7" t="s">
        <v>375</v>
      </c>
      <c r="G29" s="8">
        <v>1</v>
      </c>
      <c r="H29" s="7"/>
      <c r="I29" s="7"/>
      <c r="J29" s="7"/>
    </row>
    <row r="30" ht="82.5" spans="1:10">
      <c r="A30" s="11"/>
      <c r="B30" s="8"/>
      <c r="C30" s="7" t="s">
        <v>376</v>
      </c>
      <c r="D30" s="9" t="s">
        <v>340</v>
      </c>
      <c r="E30" s="7" t="s">
        <v>377</v>
      </c>
      <c r="F30" s="7" t="s">
        <v>378</v>
      </c>
      <c r="G30" s="8">
        <v>1</v>
      </c>
      <c r="H30" s="7"/>
      <c r="I30" s="7"/>
      <c r="J30" s="7"/>
    </row>
    <row r="31" ht="66" spans="1:10">
      <c r="A31" s="11"/>
      <c r="B31" s="8"/>
      <c r="C31" s="7" t="s">
        <v>379</v>
      </c>
      <c r="D31" s="7" t="s">
        <v>304</v>
      </c>
      <c r="E31" s="7" t="s">
        <v>380</v>
      </c>
      <c r="F31" s="7" t="s">
        <v>381</v>
      </c>
      <c r="G31" s="8">
        <v>1</v>
      </c>
      <c r="H31" s="7"/>
      <c r="I31" s="7"/>
      <c r="J31" s="7"/>
    </row>
    <row r="32" ht="66" spans="1:10">
      <c r="A32" s="11"/>
      <c r="B32" s="8" t="s">
        <v>382</v>
      </c>
      <c r="C32" s="7" t="s">
        <v>383</v>
      </c>
      <c r="D32" s="7" t="s">
        <v>304</v>
      </c>
      <c r="E32" s="7" t="s">
        <v>384</v>
      </c>
      <c r="F32" s="7" t="s">
        <v>385</v>
      </c>
      <c r="G32" s="8">
        <v>1</v>
      </c>
      <c r="H32" s="7"/>
      <c r="I32" s="7"/>
      <c r="J32" s="7"/>
    </row>
    <row r="33" ht="33" spans="1:10">
      <c r="A33" s="11"/>
      <c r="B33" s="8"/>
      <c r="C33" s="7" t="s">
        <v>386</v>
      </c>
      <c r="D33" s="7" t="s">
        <v>304</v>
      </c>
      <c r="E33" s="7" t="s">
        <v>387</v>
      </c>
      <c r="F33" s="7" t="s">
        <v>388</v>
      </c>
      <c r="G33" s="8">
        <v>1</v>
      </c>
      <c r="H33" s="7"/>
      <c r="I33" s="7"/>
      <c r="J33" s="7"/>
    </row>
    <row r="34" ht="66" spans="1:10">
      <c r="A34" s="11"/>
      <c r="B34" s="8" t="s">
        <v>389</v>
      </c>
      <c r="C34" s="7" t="s">
        <v>390</v>
      </c>
      <c r="D34" s="7" t="s">
        <v>304</v>
      </c>
      <c r="E34" s="7" t="s">
        <v>391</v>
      </c>
      <c r="F34" s="7" t="s">
        <v>392</v>
      </c>
      <c r="G34" s="8">
        <v>2</v>
      </c>
      <c r="H34" s="7"/>
      <c r="I34" s="7"/>
      <c r="J34" s="7"/>
    </row>
    <row r="35" ht="66" spans="1:10">
      <c r="A35" s="11"/>
      <c r="B35" s="8"/>
      <c r="C35" s="7" t="s">
        <v>393</v>
      </c>
      <c r="D35" s="7" t="s">
        <v>304</v>
      </c>
      <c r="E35" s="7" t="s">
        <v>394</v>
      </c>
      <c r="F35" s="7" t="s">
        <v>395</v>
      </c>
      <c r="G35" s="8">
        <v>2</v>
      </c>
      <c r="H35" s="7"/>
      <c r="I35" s="7"/>
      <c r="J35" s="7"/>
    </row>
    <row r="36" ht="33" spans="1:10">
      <c r="A36" s="11"/>
      <c r="B36" s="10" t="s">
        <v>396</v>
      </c>
      <c r="C36" s="7" t="s">
        <v>397</v>
      </c>
      <c r="D36" s="7" t="s">
        <v>304</v>
      </c>
      <c r="E36" s="7" t="s">
        <v>398</v>
      </c>
      <c r="F36" s="7" t="s">
        <v>399</v>
      </c>
      <c r="G36" s="8">
        <v>1</v>
      </c>
      <c r="H36" s="7"/>
      <c r="I36" s="7"/>
      <c r="J36" s="7"/>
    </row>
    <row r="37" ht="34.5" spans="1:10">
      <c r="A37" s="11"/>
      <c r="B37" s="11"/>
      <c r="C37" s="7" t="s">
        <v>400</v>
      </c>
      <c r="D37" s="7" t="s">
        <v>304</v>
      </c>
      <c r="E37" s="7" t="s">
        <v>401</v>
      </c>
      <c r="F37" s="7" t="s">
        <v>402</v>
      </c>
      <c r="G37" s="8">
        <v>2</v>
      </c>
      <c r="H37" s="7"/>
      <c r="I37" s="7"/>
      <c r="J37" s="7"/>
    </row>
    <row r="38" ht="34.5" spans="1:10">
      <c r="A38" s="11"/>
      <c r="B38" s="11"/>
      <c r="C38" s="7" t="s">
        <v>403</v>
      </c>
      <c r="D38" s="7" t="s">
        <v>304</v>
      </c>
      <c r="E38" s="7" t="s">
        <v>404</v>
      </c>
      <c r="F38" s="7" t="s">
        <v>405</v>
      </c>
      <c r="G38" s="8">
        <v>2</v>
      </c>
      <c r="H38" s="7"/>
      <c r="I38" s="7"/>
      <c r="J38" s="7"/>
    </row>
    <row r="39" ht="82.5" spans="1:10">
      <c r="A39" s="11"/>
      <c r="B39" s="11"/>
      <c r="C39" s="7" t="s">
        <v>406</v>
      </c>
      <c r="D39" s="9" t="s">
        <v>340</v>
      </c>
      <c r="E39" s="7" t="s">
        <v>407</v>
      </c>
      <c r="F39" s="7" t="s">
        <v>408</v>
      </c>
      <c r="G39" s="8">
        <v>1</v>
      </c>
      <c r="H39" s="7"/>
      <c r="I39" s="7"/>
      <c r="J39" s="7"/>
    </row>
    <row r="40" ht="49.5" spans="1:10">
      <c r="A40" s="12"/>
      <c r="B40" s="12"/>
      <c r="C40" s="7" t="s">
        <v>409</v>
      </c>
      <c r="D40" s="9" t="s">
        <v>340</v>
      </c>
      <c r="E40" s="7" t="s">
        <v>410</v>
      </c>
      <c r="F40" s="7" t="s">
        <v>411</v>
      </c>
      <c r="G40" s="8">
        <v>1</v>
      </c>
      <c r="H40" s="7"/>
      <c r="I40" s="7"/>
      <c r="J40" s="7"/>
    </row>
    <row r="41" ht="66" spans="1:10">
      <c r="A41" s="6" t="s">
        <v>412</v>
      </c>
      <c r="B41" s="6" t="s">
        <v>413</v>
      </c>
      <c r="C41" s="7" t="s">
        <v>414</v>
      </c>
      <c r="D41" s="7" t="s">
        <v>304</v>
      </c>
      <c r="E41" s="7" t="s">
        <v>415</v>
      </c>
      <c r="F41" s="7" t="s">
        <v>416</v>
      </c>
      <c r="G41" s="8">
        <v>2</v>
      </c>
      <c r="H41" s="7"/>
      <c r="I41" s="7"/>
      <c r="J41" s="7"/>
    </row>
    <row r="42" ht="49.5" spans="1:10">
      <c r="A42" s="6"/>
      <c r="B42" s="6"/>
      <c r="C42" s="7" t="s">
        <v>417</v>
      </c>
      <c r="D42" s="7" t="s">
        <v>304</v>
      </c>
      <c r="E42" s="7" t="s">
        <v>418</v>
      </c>
      <c r="F42" s="7" t="s">
        <v>419</v>
      </c>
      <c r="G42" s="8">
        <v>2</v>
      </c>
      <c r="H42" s="7"/>
      <c r="I42" s="7"/>
      <c r="J42" s="7"/>
    </row>
    <row r="43" ht="82.5" spans="1:10">
      <c r="A43" s="6"/>
      <c r="B43" s="6"/>
      <c r="C43" s="7" t="s">
        <v>420</v>
      </c>
      <c r="D43" s="7" t="s">
        <v>304</v>
      </c>
      <c r="E43" s="7" t="s">
        <v>421</v>
      </c>
      <c r="F43" s="7" t="s">
        <v>422</v>
      </c>
      <c r="G43" s="8">
        <v>2</v>
      </c>
      <c r="H43" s="7"/>
      <c r="I43" s="7"/>
      <c r="J43" s="7"/>
    </row>
    <row r="44" ht="49.5" spans="1:10">
      <c r="A44" s="6"/>
      <c r="B44" s="6"/>
      <c r="C44" s="7" t="s">
        <v>423</v>
      </c>
      <c r="D44" s="7" t="s">
        <v>304</v>
      </c>
      <c r="E44" s="7" t="s">
        <v>424</v>
      </c>
      <c r="F44" s="7" t="s">
        <v>425</v>
      </c>
      <c r="G44" s="8">
        <v>2</v>
      </c>
      <c r="H44" s="7"/>
      <c r="I44" s="7"/>
      <c r="J44" s="7"/>
    </row>
    <row r="45" ht="33" spans="1:10">
      <c r="A45" s="10" t="s">
        <v>426</v>
      </c>
      <c r="B45" s="10" t="s">
        <v>427</v>
      </c>
      <c r="C45" s="7" t="s">
        <v>428</v>
      </c>
      <c r="D45" s="7" t="s">
        <v>304</v>
      </c>
      <c r="E45" s="7" t="s">
        <v>429</v>
      </c>
      <c r="F45" s="7" t="s">
        <v>429</v>
      </c>
      <c r="G45" s="8">
        <v>1</v>
      </c>
      <c r="H45" s="7"/>
      <c r="I45" s="7"/>
      <c r="J45" s="7"/>
    </row>
    <row r="46" ht="66" spans="1:10">
      <c r="A46" s="11"/>
      <c r="B46" s="11"/>
      <c r="C46" s="7" t="s">
        <v>430</v>
      </c>
      <c r="D46" s="7" t="s">
        <v>304</v>
      </c>
      <c r="E46" s="7" t="s">
        <v>431</v>
      </c>
      <c r="F46" s="7" t="s">
        <v>432</v>
      </c>
      <c r="G46" s="8">
        <v>1</v>
      </c>
      <c r="H46" s="7"/>
      <c r="I46" s="7"/>
      <c r="J46" s="7"/>
    </row>
    <row r="47" ht="66" spans="1:10">
      <c r="A47" s="11"/>
      <c r="B47" s="11"/>
      <c r="C47" s="7" t="s">
        <v>433</v>
      </c>
      <c r="D47" s="7" t="s">
        <v>304</v>
      </c>
      <c r="E47" s="7" t="s">
        <v>434</v>
      </c>
      <c r="F47" s="7" t="s">
        <v>435</v>
      </c>
      <c r="G47" s="8">
        <v>1</v>
      </c>
      <c r="H47" s="7"/>
      <c r="I47" s="7"/>
      <c r="J47" s="7"/>
    </row>
    <row r="48" ht="66" spans="1:10">
      <c r="A48" s="11"/>
      <c r="B48" s="11"/>
      <c r="C48" s="7" t="s">
        <v>436</v>
      </c>
      <c r="D48" s="7" t="s">
        <v>304</v>
      </c>
      <c r="E48" s="7" t="s">
        <v>437</v>
      </c>
      <c r="F48" s="7" t="s">
        <v>438</v>
      </c>
      <c r="G48" s="8">
        <v>1</v>
      </c>
      <c r="H48" s="7"/>
      <c r="I48" s="7"/>
      <c r="J48" s="7"/>
    </row>
    <row r="49" ht="99" spans="1:10">
      <c r="A49" s="11"/>
      <c r="B49" s="11"/>
      <c r="C49" s="7" t="s">
        <v>439</v>
      </c>
      <c r="D49" s="7" t="s">
        <v>340</v>
      </c>
      <c r="E49" s="7" t="s">
        <v>440</v>
      </c>
      <c r="F49" s="7" t="s">
        <v>441</v>
      </c>
      <c r="G49" s="8">
        <v>1</v>
      </c>
      <c r="H49" s="7"/>
      <c r="I49" s="7"/>
      <c r="J49" s="7"/>
    </row>
    <row r="50" ht="33" spans="1:10">
      <c r="A50" s="11"/>
      <c r="B50" s="11"/>
      <c r="C50" s="7" t="s">
        <v>442</v>
      </c>
      <c r="D50" s="7" t="s">
        <v>304</v>
      </c>
      <c r="E50" s="7" t="s">
        <v>443</v>
      </c>
      <c r="F50" s="7" t="s">
        <v>444</v>
      </c>
      <c r="G50" s="8">
        <v>1</v>
      </c>
      <c r="H50" s="7"/>
      <c r="I50" s="7"/>
      <c r="J50" s="7"/>
    </row>
    <row r="51" ht="33" spans="1:10">
      <c r="A51" s="12"/>
      <c r="B51" s="12"/>
      <c r="C51" s="7" t="s">
        <v>445</v>
      </c>
      <c r="D51" s="7" t="s">
        <v>304</v>
      </c>
      <c r="E51" s="7" t="s">
        <v>446</v>
      </c>
      <c r="F51" s="7" t="s">
        <v>447</v>
      </c>
      <c r="G51" s="8">
        <v>1</v>
      </c>
      <c r="H51" s="7"/>
      <c r="I51" s="7"/>
      <c r="J51" s="7"/>
    </row>
    <row r="52" ht="66" spans="1:10">
      <c r="A52" s="8" t="s">
        <v>448</v>
      </c>
      <c r="B52" s="8" t="s">
        <v>449</v>
      </c>
      <c r="C52" s="7" t="s">
        <v>450</v>
      </c>
      <c r="D52" s="7" t="s">
        <v>304</v>
      </c>
      <c r="E52" s="7" t="s">
        <v>451</v>
      </c>
      <c r="F52" s="7" t="s">
        <v>452</v>
      </c>
      <c r="G52" s="8">
        <v>2</v>
      </c>
      <c r="H52" s="7"/>
      <c r="I52" s="7"/>
      <c r="J52" s="7"/>
    </row>
    <row r="53" ht="49.5" spans="1:10">
      <c r="A53" s="8"/>
      <c r="B53" s="8"/>
      <c r="C53" s="7" t="s">
        <v>453</v>
      </c>
      <c r="D53" s="7" t="s">
        <v>304</v>
      </c>
      <c r="E53" s="7" t="s">
        <v>454</v>
      </c>
      <c r="F53" s="7" t="s">
        <v>455</v>
      </c>
      <c r="G53" s="8">
        <v>2</v>
      </c>
      <c r="H53" s="7"/>
      <c r="I53" s="7"/>
      <c r="J53" s="7"/>
    </row>
    <row r="54" ht="33" spans="1:10">
      <c r="A54" s="8"/>
      <c r="B54" s="8"/>
      <c r="C54" s="7" t="s">
        <v>456</v>
      </c>
      <c r="D54" s="7" t="s">
        <v>340</v>
      </c>
      <c r="E54" s="7" t="s">
        <v>457</v>
      </c>
      <c r="F54" s="7" t="s">
        <v>458</v>
      </c>
      <c r="G54" s="8">
        <v>1</v>
      </c>
      <c r="H54" s="7"/>
      <c r="I54" s="7"/>
      <c r="J54" s="7"/>
    </row>
  </sheetData>
  <mergeCells count="20">
    <mergeCell ref="A1:J1"/>
    <mergeCell ref="A3:A6"/>
    <mergeCell ref="A7:A25"/>
    <mergeCell ref="A26:A40"/>
    <mergeCell ref="A41:A44"/>
    <mergeCell ref="A45:A51"/>
    <mergeCell ref="A52:A54"/>
    <mergeCell ref="B3:B6"/>
    <mergeCell ref="B8:B11"/>
    <mergeCell ref="B12:B15"/>
    <mergeCell ref="B16:B19"/>
    <mergeCell ref="B20:B23"/>
    <mergeCell ref="B24:B25"/>
    <mergeCell ref="B26:B31"/>
    <mergeCell ref="B32:B33"/>
    <mergeCell ref="B34:B35"/>
    <mergeCell ref="B36:B40"/>
    <mergeCell ref="B41:B44"/>
    <mergeCell ref="B45:B51"/>
    <mergeCell ref="B52:B54"/>
  </mergeCells>
  <dataValidations count="1">
    <dataValidation type="list" allowBlank="1" showInputMessage="1" showErrorMessage="1" sqref="I3:I54">
      <formula1>"通过,暂缓通过,不通过"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省评估模型</vt:lpstr>
      <vt:lpstr>专直单位评估模型</vt:lpstr>
      <vt:lpstr>平台化作战体系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Wubi</cp:lastModifiedBy>
  <dcterms:created xsi:type="dcterms:W3CDTF">2025-10-25T23:14:00Z</dcterms:created>
  <dcterms:modified xsi:type="dcterms:W3CDTF">2026-07-10T00:37:16Z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7EBC6C2290E6E4E9C778276A884B16F0_43</vt:lpwstr>
  </property>
  <property fmtid="{D5CDD505-2E9C-101B-9397-08002B2CF9AE}" pid="3" name="KSOProductBuildVer">
    <vt:lpwstr>2052-12.1.0.26895</vt:lpwstr>
  </property>
  <property fmtid="{D5CDD505-2E9C-101B-9397-08002B2CF9AE}" pid="4" name="CalculationRule">
    <vt:i4>0</vt:i4>
  </property>
</Properties>
</file>